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70" yWindow="-195" windowWidth="10635" windowHeight="5745" activeTab="2"/>
  </bookViews>
  <sheets>
    <sheet name="解T (厳密)" sheetId="33" r:id="rId1"/>
    <sheet name="項T_tt(厳密)" sheetId="47" r:id="rId2"/>
    <sheet name="項T_t(厳密)" sheetId="32" r:id="rId3"/>
    <sheet name="項T_x(厳密)" sheetId="34" r:id="rId4"/>
    <sheet name="項T_xx(厳密)" sheetId="35" r:id="rId5"/>
    <sheet name="項T_xxx(厳密) " sheetId="36" r:id="rId6"/>
    <sheet name="項T_xxxx(厳密) " sheetId="37" r:id="rId7"/>
  </sheets>
  <calcPr calcId="145621"/>
</workbook>
</file>

<file path=xl/calcChain.xml><?xml version="1.0" encoding="utf-8"?>
<calcChain xmlns="http://schemas.openxmlformats.org/spreadsheetml/2006/main">
  <c r="D3" i="47" l="1"/>
  <c r="E3" i="47"/>
  <c r="F3" i="47"/>
  <c r="G3" i="47"/>
  <c r="H3" i="47"/>
  <c r="I3" i="47"/>
  <c r="J3" i="47"/>
  <c r="K3" i="47"/>
  <c r="L3" i="47"/>
  <c r="M3" i="47"/>
  <c r="N3" i="47"/>
  <c r="O3" i="47"/>
  <c r="P3" i="47"/>
  <c r="Q3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Q4" i="47"/>
  <c r="D5" i="47"/>
  <c r="E5" i="47"/>
  <c r="F5" i="47"/>
  <c r="G5" i="47"/>
  <c r="H5" i="47"/>
  <c r="I5" i="47"/>
  <c r="J5" i="47"/>
  <c r="K5" i="47"/>
  <c r="L5" i="47"/>
  <c r="M5" i="47"/>
  <c r="N5" i="47"/>
  <c r="O5" i="47"/>
  <c r="P5" i="47"/>
  <c r="Q5" i="47"/>
  <c r="D6" i="47"/>
  <c r="E6" i="47"/>
  <c r="F6" i="47"/>
  <c r="G6" i="47"/>
  <c r="H6" i="47"/>
  <c r="I6" i="47"/>
  <c r="J6" i="47"/>
  <c r="K6" i="47"/>
  <c r="L6" i="47"/>
  <c r="M6" i="47"/>
  <c r="N6" i="47"/>
  <c r="O6" i="47"/>
  <c r="P6" i="47"/>
  <c r="Q6" i="47"/>
  <c r="D7" i="47"/>
  <c r="E7" i="47"/>
  <c r="F7" i="47"/>
  <c r="G7" i="47"/>
  <c r="H7" i="47"/>
  <c r="I7" i="47"/>
  <c r="J7" i="47"/>
  <c r="K7" i="47"/>
  <c r="L7" i="47"/>
  <c r="M7" i="47"/>
  <c r="N7" i="47"/>
  <c r="O7" i="47"/>
  <c r="P7" i="47"/>
  <c r="Q7" i="47"/>
  <c r="D8" i="47"/>
  <c r="E8" i="47"/>
  <c r="F8" i="47"/>
  <c r="G8" i="47"/>
  <c r="H8" i="47"/>
  <c r="I8" i="47"/>
  <c r="J8" i="47"/>
  <c r="K8" i="47"/>
  <c r="L8" i="47"/>
  <c r="M8" i="47"/>
  <c r="N8" i="47"/>
  <c r="O8" i="47"/>
  <c r="P8" i="47"/>
  <c r="Q8" i="47"/>
  <c r="D9" i="47"/>
  <c r="E9" i="47"/>
  <c r="F9" i="47"/>
  <c r="G9" i="47"/>
  <c r="H9" i="47"/>
  <c r="I9" i="47"/>
  <c r="J9" i="47"/>
  <c r="K9" i="47"/>
  <c r="L9" i="47"/>
  <c r="M9" i="47"/>
  <c r="N9" i="47"/>
  <c r="O9" i="47"/>
  <c r="P9" i="47"/>
  <c r="Q9" i="47"/>
  <c r="D10" i="47"/>
  <c r="E10" i="47"/>
  <c r="F10" i="47"/>
  <c r="G10" i="47"/>
  <c r="H10" i="47"/>
  <c r="I10" i="47"/>
  <c r="J10" i="47"/>
  <c r="K10" i="47"/>
  <c r="L10" i="47"/>
  <c r="M10" i="47"/>
  <c r="N10" i="47"/>
  <c r="O10" i="47"/>
  <c r="P10" i="47"/>
  <c r="Q10" i="47"/>
  <c r="D11" i="47"/>
  <c r="E11" i="47"/>
  <c r="F11" i="47"/>
  <c r="G11" i="47"/>
  <c r="H11" i="47"/>
  <c r="I11" i="47"/>
  <c r="J11" i="47"/>
  <c r="K11" i="47"/>
  <c r="L11" i="47"/>
  <c r="M11" i="47"/>
  <c r="N11" i="47"/>
  <c r="O11" i="47"/>
  <c r="P11" i="47"/>
  <c r="Q11" i="47"/>
  <c r="D12" i="47"/>
  <c r="E12" i="47"/>
  <c r="F12" i="47"/>
  <c r="G12" i="47"/>
  <c r="H12" i="47"/>
  <c r="I12" i="47"/>
  <c r="J12" i="47"/>
  <c r="K12" i="47"/>
  <c r="L12" i="47"/>
  <c r="M12" i="47"/>
  <c r="N12" i="47"/>
  <c r="O12" i="47"/>
  <c r="P12" i="47"/>
  <c r="Q12" i="47"/>
  <c r="D13" i="47"/>
  <c r="E13" i="47"/>
  <c r="F13" i="47"/>
  <c r="G13" i="47"/>
  <c r="H13" i="47"/>
  <c r="I13" i="47"/>
  <c r="J13" i="47"/>
  <c r="K13" i="47"/>
  <c r="L13" i="47"/>
  <c r="M13" i="47"/>
  <c r="N13" i="47"/>
  <c r="O13" i="47"/>
  <c r="P13" i="47"/>
  <c r="Q13" i="47"/>
  <c r="D14" i="47"/>
  <c r="E14" i="47"/>
  <c r="F14" i="47"/>
  <c r="G14" i="47"/>
  <c r="H14" i="47"/>
  <c r="I14" i="47"/>
  <c r="J14" i="47"/>
  <c r="K14" i="47"/>
  <c r="L14" i="47"/>
  <c r="M14" i="47"/>
  <c r="N14" i="47"/>
  <c r="O14" i="47"/>
  <c r="P14" i="47"/>
  <c r="Q14" i="47"/>
  <c r="D15" i="47"/>
  <c r="E15" i="47"/>
  <c r="F15" i="47"/>
  <c r="G15" i="47"/>
  <c r="H15" i="47"/>
  <c r="I15" i="47"/>
  <c r="J15" i="47"/>
  <c r="K15" i="47"/>
  <c r="L15" i="47"/>
  <c r="M15" i="47"/>
  <c r="N15" i="47"/>
  <c r="O15" i="47"/>
  <c r="P15" i="47"/>
  <c r="Q15" i="47"/>
  <c r="D16" i="47"/>
  <c r="E16" i="47"/>
  <c r="F16" i="47"/>
  <c r="G16" i="47"/>
  <c r="H16" i="47"/>
  <c r="I16" i="47"/>
  <c r="J16" i="47"/>
  <c r="K16" i="47"/>
  <c r="L16" i="47"/>
  <c r="M16" i="47"/>
  <c r="N16" i="47"/>
  <c r="O16" i="47"/>
  <c r="P16" i="47"/>
  <c r="Q16" i="47"/>
  <c r="D17" i="47"/>
  <c r="E17" i="47"/>
  <c r="F17" i="47"/>
  <c r="G17" i="47"/>
  <c r="H17" i="47"/>
  <c r="I17" i="47"/>
  <c r="J17" i="47"/>
  <c r="K17" i="47"/>
  <c r="L17" i="47"/>
  <c r="M17" i="47"/>
  <c r="N17" i="47"/>
  <c r="O17" i="47"/>
  <c r="P17" i="47"/>
  <c r="Q17" i="47"/>
  <c r="D18" i="47"/>
  <c r="E18" i="47"/>
  <c r="F18" i="47"/>
  <c r="G18" i="47"/>
  <c r="H18" i="47"/>
  <c r="I18" i="47"/>
  <c r="J18" i="47"/>
  <c r="K18" i="47"/>
  <c r="L18" i="47"/>
  <c r="M18" i="47"/>
  <c r="N18" i="47"/>
  <c r="O18" i="47"/>
  <c r="P18" i="47"/>
  <c r="Q18" i="47"/>
  <c r="C3" i="47"/>
  <c r="C4" i="47"/>
  <c r="C5" i="47"/>
  <c r="C6" i="47"/>
  <c r="C7" i="47"/>
  <c r="C8" i="47"/>
  <c r="C9" i="47"/>
  <c r="C10" i="47"/>
  <c r="C11" i="47"/>
  <c r="C12" i="47"/>
  <c r="C13" i="47"/>
  <c r="C14" i="47"/>
  <c r="C15" i="47"/>
  <c r="C16" i="47"/>
  <c r="C17" i="47"/>
  <c r="C18" i="47"/>
  <c r="B4" i="47"/>
  <c r="B5" i="47"/>
  <c r="B6" i="47"/>
  <c r="B7" i="47"/>
  <c r="B8" i="47"/>
  <c r="B9" i="47"/>
  <c r="B10" i="47"/>
  <c r="B11" i="47"/>
  <c r="B12" i="47"/>
  <c r="B13" i="47"/>
  <c r="B14" i="47"/>
  <c r="B15" i="47"/>
  <c r="B16" i="47"/>
  <c r="B17" i="47"/>
  <c r="B18" i="47"/>
  <c r="B3" i="47"/>
  <c r="Q3" i="34"/>
  <c r="Q4" i="34"/>
  <c r="Q5" i="34"/>
  <c r="Q6" i="34"/>
  <c r="Q7" i="34"/>
  <c r="Q8" i="34"/>
  <c r="Q9" i="34"/>
  <c r="Q10" i="34"/>
  <c r="Q11" i="34"/>
  <c r="Q12" i="34"/>
  <c r="Q13" i="34"/>
  <c r="Q14" i="34"/>
  <c r="Q15" i="34"/>
  <c r="Q16" i="34"/>
  <c r="Q17" i="34"/>
  <c r="Q18" i="34"/>
  <c r="Q20" i="34"/>
  <c r="C20" i="37"/>
  <c r="D20" i="37"/>
  <c r="E20" i="37"/>
  <c r="F20" i="37"/>
  <c r="G20" i="37"/>
  <c r="H20" i="37"/>
  <c r="I20" i="37"/>
  <c r="J20" i="37"/>
  <c r="K20" i="37"/>
  <c r="L20" i="37"/>
  <c r="M20" i="37"/>
  <c r="N20" i="37"/>
  <c r="O20" i="37"/>
  <c r="P20" i="37"/>
  <c r="Q20" i="37"/>
  <c r="B20" i="37"/>
  <c r="C20" i="36"/>
  <c r="D20" i="36"/>
  <c r="E20" i="36"/>
  <c r="F20" i="36"/>
  <c r="G20" i="36"/>
  <c r="H20" i="36"/>
  <c r="I20" i="36"/>
  <c r="J20" i="36"/>
  <c r="K20" i="36"/>
  <c r="L20" i="36"/>
  <c r="M20" i="36"/>
  <c r="N20" i="36"/>
  <c r="O20" i="36"/>
  <c r="P20" i="36"/>
  <c r="Q20" i="36"/>
  <c r="B20" i="36"/>
  <c r="C20" i="35"/>
  <c r="D20" i="35"/>
  <c r="E20" i="35"/>
  <c r="F20" i="35"/>
  <c r="G20" i="35"/>
  <c r="H20" i="35"/>
  <c r="I20" i="35"/>
  <c r="J20" i="35"/>
  <c r="K20" i="35"/>
  <c r="L20" i="35"/>
  <c r="M20" i="35"/>
  <c r="N20" i="35"/>
  <c r="O20" i="35"/>
  <c r="P20" i="35"/>
  <c r="Q20" i="35"/>
  <c r="B20" i="35"/>
  <c r="D20" i="34"/>
  <c r="E20" i="34"/>
  <c r="F20" i="34"/>
  <c r="G20" i="34"/>
  <c r="H20" i="34"/>
  <c r="I20" i="34"/>
  <c r="J20" i="34"/>
  <c r="K20" i="34"/>
  <c r="L20" i="34"/>
  <c r="M20" i="34"/>
  <c r="N20" i="34"/>
  <c r="O20" i="34"/>
  <c r="P20" i="34"/>
  <c r="C20" i="34"/>
  <c r="B20" i="34"/>
  <c r="C3" i="37"/>
  <c r="D3" i="37"/>
  <c r="E3" i="37"/>
  <c r="F3" i="37"/>
  <c r="G3" i="37"/>
  <c r="H3" i="37"/>
  <c r="I3" i="37"/>
  <c r="J3" i="37"/>
  <c r="K3" i="37"/>
  <c r="L3" i="37"/>
  <c r="M3" i="37"/>
  <c r="N3" i="37"/>
  <c r="O3" i="37"/>
  <c r="P3" i="37"/>
  <c r="Q3" i="37"/>
  <c r="C4" i="37"/>
  <c r="D4" i="37"/>
  <c r="E4" i="37"/>
  <c r="F4" i="37"/>
  <c r="G4" i="37"/>
  <c r="H4" i="37"/>
  <c r="I4" i="37"/>
  <c r="J4" i="37"/>
  <c r="K4" i="37"/>
  <c r="L4" i="37"/>
  <c r="M4" i="37"/>
  <c r="N4" i="37"/>
  <c r="O4" i="37"/>
  <c r="P4" i="37"/>
  <c r="Q4" i="37"/>
  <c r="C5" i="37"/>
  <c r="D5" i="37"/>
  <c r="E5" i="37"/>
  <c r="F5" i="37"/>
  <c r="G5" i="37"/>
  <c r="H5" i="37"/>
  <c r="I5" i="37"/>
  <c r="J5" i="37"/>
  <c r="K5" i="37"/>
  <c r="L5" i="37"/>
  <c r="M5" i="37"/>
  <c r="N5" i="37"/>
  <c r="O5" i="37"/>
  <c r="P5" i="37"/>
  <c r="Q5" i="37"/>
  <c r="C6" i="37"/>
  <c r="D6" i="37"/>
  <c r="E6" i="37"/>
  <c r="F6" i="37"/>
  <c r="G6" i="37"/>
  <c r="H6" i="37"/>
  <c r="I6" i="37"/>
  <c r="J6" i="37"/>
  <c r="K6" i="37"/>
  <c r="L6" i="37"/>
  <c r="M6" i="37"/>
  <c r="N6" i="37"/>
  <c r="O6" i="37"/>
  <c r="P6" i="37"/>
  <c r="Q6" i="37"/>
  <c r="C7" i="37"/>
  <c r="D7" i="37"/>
  <c r="E7" i="37"/>
  <c r="F7" i="37"/>
  <c r="G7" i="37"/>
  <c r="H7" i="37"/>
  <c r="I7" i="37"/>
  <c r="J7" i="37"/>
  <c r="K7" i="37"/>
  <c r="L7" i="37"/>
  <c r="M7" i="37"/>
  <c r="N7" i="37"/>
  <c r="O7" i="37"/>
  <c r="P7" i="37"/>
  <c r="Q7" i="37"/>
  <c r="C8" i="37"/>
  <c r="D8" i="37"/>
  <c r="E8" i="37"/>
  <c r="F8" i="37"/>
  <c r="G8" i="37"/>
  <c r="H8" i="37"/>
  <c r="I8" i="37"/>
  <c r="J8" i="37"/>
  <c r="K8" i="37"/>
  <c r="L8" i="37"/>
  <c r="M8" i="37"/>
  <c r="N8" i="37"/>
  <c r="O8" i="37"/>
  <c r="P8" i="37"/>
  <c r="Q8" i="37"/>
  <c r="C9" i="37"/>
  <c r="D9" i="37"/>
  <c r="E9" i="37"/>
  <c r="F9" i="37"/>
  <c r="G9" i="37"/>
  <c r="H9" i="37"/>
  <c r="I9" i="37"/>
  <c r="J9" i="37"/>
  <c r="K9" i="37"/>
  <c r="L9" i="37"/>
  <c r="M9" i="37"/>
  <c r="N9" i="37"/>
  <c r="O9" i="37"/>
  <c r="P9" i="37"/>
  <c r="Q9" i="37"/>
  <c r="C10" i="37"/>
  <c r="D10" i="37"/>
  <c r="E10" i="37"/>
  <c r="F10" i="37"/>
  <c r="G10" i="37"/>
  <c r="H10" i="37"/>
  <c r="I10" i="37"/>
  <c r="J10" i="37"/>
  <c r="K10" i="37"/>
  <c r="L10" i="37"/>
  <c r="M10" i="37"/>
  <c r="N10" i="37"/>
  <c r="O10" i="37"/>
  <c r="P10" i="37"/>
  <c r="Q10" i="37"/>
  <c r="C11" i="37"/>
  <c r="D11" i="37"/>
  <c r="E11" i="37"/>
  <c r="F11" i="37"/>
  <c r="G11" i="37"/>
  <c r="H11" i="37"/>
  <c r="I11" i="37"/>
  <c r="J11" i="37"/>
  <c r="K11" i="37"/>
  <c r="L11" i="37"/>
  <c r="M11" i="37"/>
  <c r="N11" i="37"/>
  <c r="O11" i="37"/>
  <c r="P11" i="37"/>
  <c r="Q11" i="37"/>
  <c r="C12" i="37"/>
  <c r="D12" i="37"/>
  <c r="E12" i="37"/>
  <c r="F12" i="37"/>
  <c r="G12" i="37"/>
  <c r="H12" i="37"/>
  <c r="I12" i="37"/>
  <c r="J12" i="37"/>
  <c r="K12" i="37"/>
  <c r="L12" i="37"/>
  <c r="M12" i="37"/>
  <c r="N12" i="37"/>
  <c r="O12" i="37"/>
  <c r="P12" i="37"/>
  <c r="Q12" i="37"/>
  <c r="C13" i="37"/>
  <c r="D13" i="37"/>
  <c r="E13" i="37"/>
  <c r="F13" i="37"/>
  <c r="G13" i="37"/>
  <c r="H13" i="37"/>
  <c r="I13" i="37"/>
  <c r="J13" i="37"/>
  <c r="K13" i="37"/>
  <c r="L13" i="37"/>
  <c r="M13" i="37"/>
  <c r="N13" i="37"/>
  <c r="O13" i="37"/>
  <c r="P13" i="37"/>
  <c r="Q13" i="37"/>
  <c r="C14" i="37"/>
  <c r="D14" i="37"/>
  <c r="E14" i="37"/>
  <c r="F14" i="37"/>
  <c r="G14" i="37"/>
  <c r="H14" i="37"/>
  <c r="I14" i="37"/>
  <c r="J14" i="37"/>
  <c r="K14" i="37"/>
  <c r="L14" i="37"/>
  <c r="M14" i="37"/>
  <c r="N14" i="37"/>
  <c r="O14" i="37"/>
  <c r="P14" i="37"/>
  <c r="Q14" i="37"/>
  <c r="C15" i="37"/>
  <c r="D15" i="37"/>
  <c r="E15" i="37"/>
  <c r="F15" i="37"/>
  <c r="G15" i="37"/>
  <c r="H15" i="37"/>
  <c r="I15" i="37"/>
  <c r="J15" i="37"/>
  <c r="K15" i="37"/>
  <c r="L15" i="37"/>
  <c r="M15" i="37"/>
  <c r="N15" i="37"/>
  <c r="O15" i="37"/>
  <c r="P15" i="37"/>
  <c r="Q15" i="37"/>
  <c r="C16" i="37"/>
  <c r="D16" i="37"/>
  <c r="E16" i="37"/>
  <c r="F16" i="37"/>
  <c r="G16" i="37"/>
  <c r="H16" i="37"/>
  <c r="I16" i="37"/>
  <c r="J16" i="37"/>
  <c r="K16" i="37"/>
  <c r="L16" i="37"/>
  <c r="M16" i="37"/>
  <c r="N16" i="37"/>
  <c r="O16" i="37"/>
  <c r="P16" i="37"/>
  <c r="Q16" i="37"/>
  <c r="C17" i="37"/>
  <c r="D17" i="37"/>
  <c r="E17" i="37"/>
  <c r="F17" i="37"/>
  <c r="G17" i="37"/>
  <c r="H17" i="37"/>
  <c r="I17" i="37"/>
  <c r="J17" i="37"/>
  <c r="K17" i="37"/>
  <c r="L17" i="37"/>
  <c r="M17" i="37"/>
  <c r="N17" i="37"/>
  <c r="O17" i="37"/>
  <c r="P17" i="37"/>
  <c r="Q17" i="37"/>
  <c r="C18" i="37"/>
  <c r="D18" i="37"/>
  <c r="E18" i="37"/>
  <c r="F18" i="37"/>
  <c r="G18" i="37"/>
  <c r="H18" i="37"/>
  <c r="I18" i="37"/>
  <c r="J18" i="37"/>
  <c r="K18" i="37"/>
  <c r="L18" i="37"/>
  <c r="M18" i="37"/>
  <c r="N18" i="37"/>
  <c r="O18" i="37"/>
  <c r="P18" i="37"/>
  <c r="Q18" i="37"/>
  <c r="B4" i="37"/>
  <c r="B5" i="37"/>
  <c r="B6" i="37"/>
  <c r="B7" i="37"/>
  <c r="B8" i="37"/>
  <c r="B9" i="37"/>
  <c r="B10" i="37"/>
  <c r="B11" i="37"/>
  <c r="B12" i="37"/>
  <c r="B13" i="37"/>
  <c r="B14" i="37"/>
  <c r="B15" i="37"/>
  <c r="B16" i="37"/>
  <c r="B17" i="37"/>
  <c r="B18" i="37"/>
  <c r="B3" i="37"/>
  <c r="C3" i="36"/>
  <c r="D3" i="36"/>
  <c r="E3" i="36"/>
  <c r="F3" i="36"/>
  <c r="G3" i="36"/>
  <c r="H3" i="36"/>
  <c r="I3" i="36"/>
  <c r="J3" i="36"/>
  <c r="K3" i="36"/>
  <c r="L3" i="36"/>
  <c r="M3" i="36"/>
  <c r="N3" i="36"/>
  <c r="O3" i="36"/>
  <c r="P3" i="36"/>
  <c r="Q3" i="36"/>
  <c r="C4" i="36"/>
  <c r="D4" i="36"/>
  <c r="E4" i="36"/>
  <c r="F4" i="36"/>
  <c r="G4" i="36"/>
  <c r="H4" i="36"/>
  <c r="I4" i="36"/>
  <c r="J4" i="36"/>
  <c r="K4" i="36"/>
  <c r="L4" i="36"/>
  <c r="M4" i="36"/>
  <c r="N4" i="36"/>
  <c r="O4" i="36"/>
  <c r="P4" i="36"/>
  <c r="Q4" i="36"/>
  <c r="C5" i="36"/>
  <c r="D5" i="36"/>
  <c r="E5" i="36"/>
  <c r="F5" i="36"/>
  <c r="G5" i="36"/>
  <c r="H5" i="36"/>
  <c r="I5" i="36"/>
  <c r="J5" i="36"/>
  <c r="K5" i="36"/>
  <c r="L5" i="36"/>
  <c r="M5" i="36"/>
  <c r="N5" i="36"/>
  <c r="O5" i="36"/>
  <c r="P5" i="36"/>
  <c r="Q5" i="36"/>
  <c r="C6" i="36"/>
  <c r="D6" i="36"/>
  <c r="E6" i="36"/>
  <c r="F6" i="36"/>
  <c r="G6" i="36"/>
  <c r="H6" i="36"/>
  <c r="I6" i="36"/>
  <c r="J6" i="36"/>
  <c r="K6" i="36"/>
  <c r="L6" i="36"/>
  <c r="M6" i="36"/>
  <c r="N6" i="36"/>
  <c r="O6" i="36"/>
  <c r="P6" i="36"/>
  <c r="Q6" i="36"/>
  <c r="C7" i="36"/>
  <c r="D7" i="36"/>
  <c r="E7" i="36"/>
  <c r="F7" i="36"/>
  <c r="G7" i="36"/>
  <c r="H7" i="36"/>
  <c r="I7" i="36"/>
  <c r="J7" i="36"/>
  <c r="K7" i="36"/>
  <c r="L7" i="36"/>
  <c r="M7" i="36"/>
  <c r="N7" i="36"/>
  <c r="O7" i="36"/>
  <c r="P7" i="36"/>
  <c r="Q7" i="36"/>
  <c r="C8" i="36"/>
  <c r="D8" i="36"/>
  <c r="E8" i="36"/>
  <c r="F8" i="36"/>
  <c r="G8" i="36"/>
  <c r="H8" i="36"/>
  <c r="I8" i="36"/>
  <c r="J8" i="36"/>
  <c r="K8" i="36"/>
  <c r="L8" i="36"/>
  <c r="M8" i="36"/>
  <c r="N8" i="36"/>
  <c r="O8" i="36"/>
  <c r="P8" i="36"/>
  <c r="Q8" i="36"/>
  <c r="C9" i="36"/>
  <c r="D9" i="36"/>
  <c r="E9" i="36"/>
  <c r="F9" i="36"/>
  <c r="G9" i="36"/>
  <c r="H9" i="36"/>
  <c r="I9" i="36"/>
  <c r="J9" i="36"/>
  <c r="K9" i="36"/>
  <c r="L9" i="36"/>
  <c r="M9" i="36"/>
  <c r="N9" i="36"/>
  <c r="O9" i="36"/>
  <c r="P9" i="36"/>
  <c r="Q9" i="36"/>
  <c r="C10" i="36"/>
  <c r="D10" i="36"/>
  <c r="E10" i="36"/>
  <c r="F10" i="36"/>
  <c r="G10" i="36"/>
  <c r="H10" i="36"/>
  <c r="I10" i="36"/>
  <c r="J10" i="36"/>
  <c r="K10" i="36"/>
  <c r="L10" i="36"/>
  <c r="M10" i="36"/>
  <c r="N10" i="36"/>
  <c r="O10" i="36"/>
  <c r="P10" i="36"/>
  <c r="Q10" i="36"/>
  <c r="C11" i="36"/>
  <c r="D11" i="36"/>
  <c r="E11" i="36"/>
  <c r="F11" i="36"/>
  <c r="G11" i="36"/>
  <c r="H11" i="36"/>
  <c r="I11" i="36"/>
  <c r="J11" i="36"/>
  <c r="K11" i="36"/>
  <c r="L11" i="36"/>
  <c r="M11" i="36"/>
  <c r="N11" i="36"/>
  <c r="O11" i="36"/>
  <c r="P11" i="36"/>
  <c r="Q11" i="36"/>
  <c r="C12" i="36"/>
  <c r="D12" i="36"/>
  <c r="E12" i="36"/>
  <c r="F12" i="36"/>
  <c r="G12" i="36"/>
  <c r="H12" i="36"/>
  <c r="I12" i="36"/>
  <c r="J12" i="36"/>
  <c r="K12" i="36"/>
  <c r="L12" i="36"/>
  <c r="M12" i="36"/>
  <c r="N12" i="36"/>
  <c r="O12" i="36"/>
  <c r="P12" i="36"/>
  <c r="Q12" i="36"/>
  <c r="C13" i="36"/>
  <c r="D13" i="36"/>
  <c r="E13" i="36"/>
  <c r="F13" i="36"/>
  <c r="G13" i="36"/>
  <c r="H13" i="36"/>
  <c r="I13" i="36"/>
  <c r="J13" i="36"/>
  <c r="K13" i="36"/>
  <c r="L13" i="36"/>
  <c r="M13" i="36"/>
  <c r="N13" i="36"/>
  <c r="O13" i="36"/>
  <c r="P13" i="36"/>
  <c r="Q13" i="36"/>
  <c r="C14" i="36"/>
  <c r="D14" i="36"/>
  <c r="E14" i="36"/>
  <c r="F14" i="36"/>
  <c r="G14" i="36"/>
  <c r="H14" i="36"/>
  <c r="I14" i="36"/>
  <c r="J14" i="36"/>
  <c r="K14" i="36"/>
  <c r="L14" i="36"/>
  <c r="M14" i="36"/>
  <c r="N14" i="36"/>
  <c r="O14" i="36"/>
  <c r="P14" i="36"/>
  <c r="Q14" i="36"/>
  <c r="C15" i="36"/>
  <c r="D15" i="36"/>
  <c r="E15" i="36"/>
  <c r="F15" i="36"/>
  <c r="G15" i="36"/>
  <c r="H15" i="36"/>
  <c r="I15" i="36"/>
  <c r="J15" i="36"/>
  <c r="K15" i="36"/>
  <c r="L15" i="36"/>
  <c r="M15" i="36"/>
  <c r="N15" i="36"/>
  <c r="O15" i="36"/>
  <c r="P15" i="36"/>
  <c r="Q15" i="36"/>
  <c r="C16" i="36"/>
  <c r="D16" i="36"/>
  <c r="E16" i="36"/>
  <c r="F16" i="36"/>
  <c r="G16" i="36"/>
  <c r="H16" i="36"/>
  <c r="I16" i="36"/>
  <c r="J16" i="36"/>
  <c r="K16" i="36"/>
  <c r="L16" i="36"/>
  <c r="M16" i="36"/>
  <c r="N16" i="36"/>
  <c r="O16" i="36"/>
  <c r="P16" i="36"/>
  <c r="Q16" i="36"/>
  <c r="C17" i="36"/>
  <c r="D17" i="36"/>
  <c r="E17" i="36"/>
  <c r="F17" i="36"/>
  <c r="G17" i="36"/>
  <c r="H17" i="36"/>
  <c r="I17" i="36"/>
  <c r="J17" i="36"/>
  <c r="K17" i="36"/>
  <c r="L17" i="36"/>
  <c r="M17" i="36"/>
  <c r="N17" i="36"/>
  <c r="O17" i="36"/>
  <c r="P17" i="36"/>
  <c r="Q17" i="36"/>
  <c r="C18" i="36"/>
  <c r="D18" i="36"/>
  <c r="E18" i="36"/>
  <c r="F18" i="36"/>
  <c r="G18" i="36"/>
  <c r="H18" i="36"/>
  <c r="I18" i="36"/>
  <c r="J18" i="36"/>
  <c r="K18" i="36"/>
  <c r="L18" i="36"/>
  <c r="M18" i="36"/>
  <c r="N18" i="36"/>
  <c r="O18" i="36"/>
  <c r="P18" i="36"/>
  <c r="Q18" i="36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B17" i="36"/>
  <c r="B18" i="36"/>
  <c r="B3" i="36"/>
  <c r="B15" i="35"/>
  <c r="C15" i="35"/>
  <c r="D15" i="35"/>
  <c r="E15" i="35"/>
  <c r="F15" i="35"/>
  <c r="G15" i="35"/>
  <c r="H15" i="35"/>
  <c r="I15" i="35"/>
  <c r="J15" i="35"/>
  <c r="K15" i="35"/>
  <c r="L15" i="35"/>
  <c r="M15" i="35"/>
  <c r="N15" i="35"/>
  <c r="O15" i="35"/>
  <c r="P15" i="35"/>
  <c r="Q15" i="35"/>
  <c r="B16" i="35"/>
  <c r="C16" i="35"/>
  <c r="D16" i="35"/>
  <c r="E16" i="35"/>
  <c r="F16" i="35"/>
  <c r="G16" i="35"/>
  <c r="H16" i="35"/>
  <c r="I16" i="35"/>
  <c r="J16" i="35"/>
  <c r="K16" i="35"/>
  <c r="L16" i="35"/>
  <c r="M16" i="35"/>
  <c r="N16" i="35"/>
  <c r="O16" i="35"/>
  <c r="P16" i="35"/>
  <c r="Q16" i="35"/>
  <c r="B17" i="35"/>
  <c r="C17" i="35"/>
  <c r="D17" i="35"/>
  <c r="E17" i="35"/>
  <c r="F17" i="35"/>
  <c r="G17" i="35"/>
  <c r="H17" i="35"/>
  <c r="I17" i="35"/>
  <c r="J17" i="35"/>
  <c r="K17" i="35"/>
  <c r="L17" i="35"/>
  <c r="M17" i="35"/>
  <c r="N17" i="35"/>
  <c r="O17" i="35"/>
  <c r="P17" i="35"/>
  <c r="Q17" i="35"/>
  <c r="B18" i="35"/>
  <c r="C18" i="35"/>
  <c r="D18" i="35"/>
  <c r="E18" i="35"/>
  <c r="F18" i="35"/>
  <c r="G18" i="35"/>
  <c r="H18" i="35"/>
  <c r="I18" i="35"/>
  <c r="J18" i="35"/>
  <c r="K18" i="35"/>
  <c r="L18" i="35"/>
  <c r="M18" i="35"/>
  <c r="N18" i="35"/>
  <c r="O18" i="35"/>
  <c r="P18" i="35"/>
  <c r="Q18" i="35"/>
  <c r="B4" i="35"/>
  <c r="C4" i="35"/>
  <c r="D4" i="35"/>
  <c r="E4" i="35"/>
  <c r="F4" i="35"/>
  <c r="G4" i="35"/>
  <c r="H4" i="35"/>
  <c r="I4" i="35"/>
  <c r="J4" i="35"/>
  <c r="K4" i="35"/>
  <c r="L4" i="35"/>
  <c r="M4" i="35"/>
  <c r="N4" i="35"/>
  <c r="O4" i="35"/>
  <c r="P4" i="35"/>
  <c r="Q4" i="35"/>
  <c r="B5" i="35"/>
  <c r="C5" i="35"/>
  <c r="D5" i="35"/>
  <c r="E5" i="35"/>
  <c r="F5" i="35"/>
  <c r="G5" i="35"/>
  <c r="H5" i="35"/>
  <c r="I5" i="35"/>
  <c r="J5" i="35"/>
  <c r="K5" i="35"/>
  <c r="L5" i="35"/>
  <c r="M5" i="35"/>
  <c r="N5" i="35"/>
  <c r="O5" i="35"/>
  <c r="P5" i="35"/>
  <c r="Q5" i="35"/>
  <c r="B6" i="35"/>
  <c r="C6" i="35"/>
  <c r="D6" i="35"/>
  <c r="E6" i="35"/>
  <c r="F6" i="35"/>
  <c r="G6" i="35"/>
  <c r="H6" i="35"/>
  <c r="I6" i="35"/>
  <c r="J6" i="35"/>
  <c r="K6" i="35"/>
  <c r="L6" i="35"/>
  <c r="M6" i="35"/>
  <c r="N6" i="35"/>
  <c r="O6" i="35"/>
  <c r="P6" i="35"/>
  <c r="Q6" i="35"/>
  <c r="B7" i="35"/>
  <c r="C7" i="35"/>
  <c r="D7" i="35"/>
  <c r="E7" i="35"/>
  <c r="F7" i="35"/>
  <c r="G7" i="35"/>
  <c r="H7" i="35"/>
  <c r="I7" i="35"/>
  <c r="J7" i="35"/>
  <c r="K7" i="35"/>
  <c r="L7" i="35"/>
  <c r="M7" i="35"/>
  <c r="N7" i="35"/>
  <c r="O7" i="35"/>
  <c r="P7" i="35"/>
  <c r="Q7" i="35"/>
  <c r="B8" i="35"/>
  <c r="C8" i="35"/>
  <c r="D8" i="35"/>
  <c r="E8" i="35"/>
  <c r="F8" i="35"/>
  <c r="G8" i="35"/>
  <c r="H8" i="35"/>
  <c r="I8" i="35"/>
  <c r="J8" i="35"/>
  <c r="K8" i="35"/>
  <c r="L8" i="35"/>
  <c r="M8" i="35"/>
  <c r="N8" i="35"/>
  <c r="O8" i="35"/>
  <c r="P8" i="35"/>
  <c r="Q8" i="35"/>
  <c r="B9" i="35"/>
  <c r="C9" i="35"/>
  <c r="D9" i="35"/>
  <c r="E9" i="35"/>
  <c r="F9" i="35"/>
  <c r="G9" i="35"/>
  <c r="H9" i="35"/>
  <c r="I9" i="35"/>
  <c r="J9" i="35"/>
  <c r="K9" i="35"/>
  <c r="L9" i="35"/>
  <c r="M9" i="35"/>
  <c r="N9" i="35"/>
  <c r="O9" i="35"/>
  <c r="P9" i="35"/>
  <c r="Q9" i="35"/>
  <c r="B10" i="35"/>
  <c r="C10" i="35"/>
  <c r="D10" i="35"/>
  <c r="E10" i="35"/>
  <c r="F10" i="35"/>
  <c r="G10" i="35"/>
  <c r="H10" i="35"/>
  <c r="I10" i="35"/>
  <c r="J10" i="35"/>
  <c r="K10" i="35"/>
  <c r="L10" i="35"/>
  <c r="M10" i="35"/>
  <c r="N10" i="35"/>
  <c r="O10" i="35"/>
  <c r="P10" i="35"/>
  <c r="Q10" i="35"/>
  <c r="B11" i="35"/>
  <c r="C11" i="35"/>
  <c r="D11" i="35"/>
  <c r="E11" i="35"/>
  <c r="F11" i="35"/>
  <c r="G11" i="35"/>
  <c r="H11" i="35"/>
  <c r="I11" i="35"/>
  <c r="J11" i="35"/>
  <c r="K11" i="35"/>
  <c r="L11" i="35"/>
  <c r="M11" i="35"/>
  <c r="N11" i="35"/>
  <c r="O11" i="35"/>
  <c r="P11" i="35"/>
  <c r="Q11" i="35"/>
  <c r="B12" i="35"/>
  <c r="C12" i="35"/>
  <c r="D12" i="35"/>
  <c r="E12" i="35"/>
  <c r="F12" i="35"/>
  <c r="G12" i="35"/>
  <c r="H12" i="35"/>
  <c r="I12" i="35"/>
  <c r="J12" i="35"/>
  <c r="K12" i="35"/>
  <c r="L12" i="35"/>
  <c r="M12" i="35"/>
  <c r="N12" i="35"/>
  <c r="O12" i="35"/>
  <c r="P12" i="35"/>
  <c r="Q12" i="35"/>
  <c r="B13" i="35"/>
  <c r="C13" i="35"/>
  <c r="D13" i="35"/>
  <c r="E13" i="35"/>
  <c r="F13" i="35"/>
  <c r="G13" i="35"/>
  <c r="H13" i="35"/>
  <c r="I13" i="35"/>
  <c r="J13" i="35"/>
  <c r="K13" i="35"/>
  <c r="L13" i="35"/>
  <c r="M13" i="35"/>
  <c r="N13" i="35"/>
  <c r="O13" i="35"/>
  <c r="P13" i="35"/>
  <c r="Q13" i="35"/>
  <c r="B14" i="35"/>
  <c r="C14" i="35"/>
  <c r="D14" i="35"/>
  <c r="E14" i="35"/>
  <c r="F14" i="35"/>
  <c r="G14" i="35"/>
  <c r="H14" i="35"/>
  <c r="I14" i="35"/>
  <c r="J14" i="35"/>
  <c r="K14" i="35"/>
  <c r="L14" i="35"/>
  <c r="M14" i="35"/>
  <c r="N14" i="35"/>
  <c r="O14" i="35"/>
  <c r="P14" i="35"/>
  <c r="Q14" i="35"/>
  <c r="F3" i="35"/>
  <c r="G3" i="35"/>
  <c r="H3" i="35"/>
  <c r="I3" i="35"/>
  <c r="J3" i="35"/>
  <c r="K3" i="35"/>
  <c r="L3" i="35"/>
  <c r="M3" i="35"/>
  <c r="N3" i="35"/>
  <c r="O3" i="35"/>
  <c r="P3" i="35"/>
  <c r="Q3" i="35"/>
  <c r="E3" i="35"/>
  <c r="D3" i="35"/>
  <c r="C3" i="35"/>
  <c r="B3" i="35"/>
  <c r="B8" i="34"/>
  <c r="C8" i="34"/>
  <c r="D8" i="34"/>
  <c r="E8" i="34"/>
  <c r="F8" i="34"/>
  <c r="G8" i="34"/>
  <c r="H8" i="34"/>
  <c r="I8" i="34"/>
  <c r="J8" i="34"/>
  <c r="K8" i="34"/>
  <c r="L8" i="34"/>
  <c r="M8" i="34"/>
  <c r="N8" i="34"/>
  <c r="O8" i="34"/>
  <c r="P8" i="34"/>
  <c r="B9" i="34"/>
  <c r="C9" i="34"/>
  <c r="D9" i="34"/>
  <c r="E9" i="34"/>
  <c r="F9" i="34"/>
  <c r="G9" i="34"/>
  <c r="H9" i="34"/>
  <c r="I9" i="34"/>
  <c r="J9" i="34"/>
  <c r="K9" i="34"/>
  <c r="L9" i="34"/>
  <c r="M9" i="34"/>
  <c r="N9" i="34"/>
  <c r="O9" i="34"/>
  <c r="P9" i="34"/>
  <c r="B10" i="34"/>
  <c r="C10" i="34"/>
  <c r="D10" i="34"/>
  <c r="E10" i="34"/>
  <c r="F10" i="34"/>
  <c r="G10" i="34"/>
  <c r="H10" i="34"/>
  <c r="I10" i="34"/>
  <c r="J10" i="34"/>
  <c r="K10" i="34"/>
  <c r="L10" i="34"/>
  <c r="M10" i="34"/>
  <c r="N10" i="34"/>
  <c r="O10" i="34"/>
  <c r="P10" i="34"/>
  <c r="B11" i="34"/>
  <c r="C11" i="34"/>
  <c r="D11" i="34"/>
  <c r="E11" i="34"/>
  <c r="F11" i="34"/>
  <c r="G11" i="34"/>
  <c r="H11" i="34"/>
  <c r="I11" i="34"/>
  <c r="J11" i="34"/>
  <c r="K11" i="34"/>
  <c r="L11" i="34"/>
  <c r="M11" i="34"/>
  <c r="N11" i="34"/>
  <c r="O11" i="34"/>
  <c r="P11" i="34"/>
  <c r="B12" i="34"/>
  <c r="C12" i="34"/>
  <c r="D12" i="34"/>
  <c r="E12" i="34"/>
  <c r="F12" i="34"/>
  <c r="G12" i="34"/>
  <c r="H12" i="34"/>
  <c r="I12" i="34"/>
  <c r="J12" i="34"/>
  <c r="K12" i="34"/>
  <c r="L12" i="34"/>
  <c r="M12" i="34"/>
  <c r="N12" i="34"/>
  <c r="O12" i="34"/>
  <c r="P12" i="34"/>
  <c r="B13" i="34"/>
  <c r="C13" i="34"/>
  <c r="D13" i="34"/>
  <c r="E13" i="34"/>
  <c r="F13" i="34"/>
  <c r="G13" i="34"/>
  <c r="H13" i="34"/>
  <c r="I13" i="34"/>
  <c r="J13" i="34"/>
  <c r="K13" i="34"/>
  <c r="L13" i="34"/>
  <c r="M13" i="34"/>
  <c r="N13" i="34"/>
  <c r="O13" i="34"/>
  <c r="P13" i="34"/>
  <c r="B14" i="34"/>
  <c r="C14" i="34"/>
  <c r="D14" i="34"/>
  <c r="E14" i="34"/>
  <c r="F14" i="34"/>
  <c r="G14" i="34"/>
  <c r="H14" i="34"/>
  <c r="I14" i="34"/>
  <c r="J14" i="34"/>
  <c r="K14" i="34"/>
  <c r="L14" i="34"/>
  <c r="M14" i="34"/>
  <c r="N14" i="34"/>
  <c r="O14" i="34"/>
  <c r="P14" i="34"/>
  <c r="B15" i="34"/>
  <c r="C15" i="34"/>
  <c r="D15" i="34"/>
  <c r="E15" i="34"/>
  <c r="F15" i="34"/>
  <c r="G15" i="34"/>
  <c r="H15" i="34"/>
  <c r="I15" i="34"/>
  <c r="J15" i="34"/>
  <c r="K15" i="34"/>
  <c r="L15" i="34"/>
  <c r="M15" i="34"/>
  <c r="N15" i="34"/>
  <c r="O15" i="34"/>
  <c r="P15" i="34"/>
  <c r="B16" i="34"/>
  <c r="C16" i="34"/>
  <c r="D16" i="34"/>
  <c r="E16" i="34"/>
  <c r="F16" i="34"/>
  <c r="G16" i="34"/>
  <c r="H16" i="34"/>
  <c r="I16" i="34"/>
  <c r="J16" i="34"/>
  <c r="K16" i="34"/>
  <c r="L16" i="34"/>
  <c r="M16" i="34"/>
  <c r="N16" i="34"/>
  <c r="O16" i="34"/>
  <c r="P16" i="34"/>
  <c r="B17" i="34"/>
  <c r="C17" i="34"/>
  <c r="D17" i="34"/>
  <c r="E17" i="34"/>
  <c r="F17" i="34"/>
  <c r="G17" i="34"/>
  <c r="H17" i="34"/>
  <c r="I17" i="34"/>
  <c r="J17" i="34"/>
  <c r="K17" i="34"/>
  <c r="L17" i="34"/>
  <c r="M17" i="34"/>
  <c r="N17" i="34"/>
  <c r="O17" i="34"/>
  <c r="P17" i="34"/>
  <c r="B18" i="34"/>
  <c r="C18" i="34"/>
  <c r="D18" i="34"/>
  <c r="E18" i="34"/>
  <c r="F18" i="34"/>
  <c r="G18" i="34"/>
  <c r="H18" i="34"/>
  <c r="I18" i="34"/>
  <c r="J18" i="34"/>
  <c r="K18" i="34"/>
  <c r="L18" i="34"/>
  <c r="M18" i="34"/>
  <c r="N18" i="34"/>
  <c r="O18" i="34"/>
  <c r="P18" i="34"/>
  <c r="B4" i="34"/>
  <c r="C4" i="34"/>
  <c r="D4" i="34"/>
  <c r="E4" i="34"/>
  <c r="F4" i="34"/>
  <c r="G4" i="34"/>
  <c r="H4" i="34"/>
  <c r="I4" i="34"/>
  <c r="J4" i="34"/>
  <c r="K4" i="34"/>
  <c r="L4" i="34"/>
  <c r="M4" i="34"/>
  <c r="N4" i="34"/>
  <c r="O4" i="34"/>
  <c r="P4" i="34"/>
  <c r="B5" i="34"/>
  <c r="C5" i="34"/>
  <c r="D5" i="34"/>
  <c r="E5" i="34"/>
  <c r="F5" i="34"/>
  <c r="G5" i="34"/>
  <c r="H5" i="34"/>
  <c r="I5" i="34"/>
  <c r="J5" i="34"/>
  <c r="K5" i="34"/>
  <c r="L5" i="34"/>
  <c r="M5" i="34"/>
  <c r="N5" i="34"/>
  <c r="O5" i="34"/>
  <c r="P5" i="34"/>
  <c r="B6" i="34"/>
  <c r="C6" i="34"/>
  <c r="D6" i="34"/>
  <c r="E6" i="34"/>
  <c r="F6" i="34"/>
  <c r="G6" i="34"/>
  <c r="H6" i="34"/>
  <c r="I6" i="34"/>
  <c r="J6" i="34"/>
  <c r="K6" i="34"/>
  <c r="L6" i="34"/>
  <c r="M6" i="34"/>
  <c r="N6" i="34"/>
  <c r="O6" i="34"/>
  <c r="P6" i="34"/>
  <c r="B7" i="34"/>
  <c r="C7" i="34"/>
  <c r="D7" i="34"/>
  <c r="E7" i="34"/>
  <c r="F7" i="34"/>
  <c r="G7" i="34"/>
  <c r="H7" i="34"/>
  <c r="I7" i="34"/>
  <c r="J7" i="34"/>
  <c r="K7" i="34"/>
  <c r="L7" i="34"/>
  <c r="M7" i="34"/>
  <c r="N7" i="34"/>
  <c r="O7" i="34"/>
  <c r="P7" i="34"/>
  <c r="E3" i="34"/>
  <c r="F3" i="34"/>
  <c r="G3" i="34"/>
  <c r="H3" i="34"/>
  <c r="I3" i="34"/>
  <c r="J3" i="34"/>
  <c r="K3" i="34"/>
  <c r="L3" i="34"/>
  <c r="M3" i="34"/>
  <c r="N3" i="34"/>
  <c r="O3" i="34"/>
  <c r="P3" i="34"/>
  <c r="D3" i="34"/>
  <c r="C3" i="34"/>
  <c r="B3" i="34"/>
  <c r="B4" i="32"/>
  <c r="B5" i="32"/>
  <c r="B6" i="32"/>
  <c r="B7" i="32"/>
  <c r="B8" i="32"/>
  <c r="B9" i="32"/>
  <c r="B10" i="32"/>
  <c r="B11" i="32"/>
  <c r="B12" i="32"/>
  <c r="B13" i="32"/>
  <c r="B14" i="32"/>
  <c r="B15" i="32"/>
  <c r="B16" i="32"/>
  <c r="B17" i="32"/>
  <c r="B18" i="32"/>
  <c r="C18" i="32"/>
  <c r="D18" i="32"/>
  <c r="E18" i="32"/>
  <c r="F18" i="32"/>
  <c r="G18" i="32"/>
  <c r="H18" i="32"/>
  <c r="I18" i="32"/>
  <c r="J18" i="32"/>
  <c r="K18" i="32"/>
  <c r="L18" i="32"/>
  <c r="M18" i="32"/>
  <c r="N18" i="32"/>
  <c r="O18" i="32"/>
  <c r="P18" i="32"/>
  <c r="Q18" i="32"/>
  <c r="F3" i="32"/>
  <c r="G3" i="32"/>
  <c r="H3" i="32"/>
  <c r="I3" i="32"/>
  <c r="J3" i="32"/>
  <c r="K3" i="32"/>
  <c r="L3" i="32"/>
  <c r="M3" i="32"/>
  <c r="N3" i="32"/>
  <c r="O3" i="32"/>
  <c r="P3" i="32"/>
  <c r="Q3" i="32"/>
  <c r="F4" i="32"/>
  <c r="G4" i="32"/>
  <c r="H4" i="32"/>
  <c r="I4" i="32"/>
  <c r="J4" i="32"/>
  <c r="K4" i="32"/>
  <c r="L4" i="32"/>
  <c r="M4" i="32"/>
  <c r="N4" i="32"/>
  <c r="O4" i="32"/>
  <c r="P4" i="32"/>
  <c r="Q4" i="32"/>
  <c r="F5" i="32"/>
  <c r="G5" i="32"/>
  <c r="H5" i="32"/>
  <c r="I5" i="32"/>
  <c r="J5" i="32"/>
  <c r="K5" i="32"/>
  <c r="L5" i="32"/>
  <c r="M5" i="32"/>
  <c r="N5" i="32"/>
  <c r="O5" i="32"/>
  <c r="P5" i="32"/>
  <c r="Q5" i="32"/>
  <c r="F6" i="32"/>
  <c r="G6" i="32"/>
  <c r="H6" i="32"/>
  <c r="I6" i="32"/>
  <c r="J6" i="32"/>
  <c r="K6" i="32"/>
  <c r="L6" i="32"/>
  <c r="M6" i="32"/>
  <c r="N6" i="32"/>
  <c r="O6" i="32"/>
  <c r="P6" i="32"/>
  <c r="Q6" i="32"/>
  <c r="F7" i="32"/>
  <c r="G7" i="32"/>
  <c r="H7" i="32"/>
  <c r="I7" i="32"/>
  <c r="J7" i="32"/>
  <c r="K7" i="32"/>
  <c r="L7" i="32"/>
  <c r="M7" i="32"/>
  <c r="N7" i="32"/>
  <c r="O7" i="32"/>
  <c r="P7" i="32"/>
  <c r="Q7" i="32"/>
  <c r="F8" i="32"/>
  <c r="G8" i="32"/>
  <c r="H8" i="32"/>
  <c r="I8" i="32"/>
  <c r="J8" i="32"/>
  <c r="K8" i="32"/>
  <c r="L8" i="32"/>
  <c r="M8" i="32"/>
  <c r="N8" i="32"/>
  <c r="O8" i="32"/>
  <c r="P8" i="32"/>
  <c r="Q8" i="32"/>
  <c r="F9" i="32"/>
  <c r="G9" i="32"/>
  <c r="H9" i="32"/>
  <c r="I9" i="32"/>
  <c r="J9" i="32"/>
  <c r="K9" i="32"/>
  <c r="L9" i="32"/>
  <c r="M9" i="32"/>
  <c r="N9" i="32"/>
  <c r="O9" i="32"/>
  <c r="P9" i="32"/>
  <c r="Q9" i="32"/>
  <c r="F10" i="32"/>
  <c r="G10" i="32"/>
  <c r="H10" i="32"/>
  <c r="I10" i="32"/>
  <c r="J10" i="32"/>
  <c r="K10" i="32"/>
  <c r="L10" i="32"/>
  <c r="M10" i="32"/>
  <c r="N10" i="32"/>
  <c r="O10" i="32"/>
  <c r="P10" i="32"/>
  <c r="Q10" i="32"/>
  <c r="F11" i="32"/>
  <c r="G11" i="32"/>
  <c r="H11" i="32"/>
  <c r="I11" i="32"/>
  <c r="J11" i="32"/>
  <c r="K11" i="32"/>
  <c r="L11" i="32"/>
  <c r="M11" i="32"/>
  <c r="N11" i="32"/>
  <c r="O11" i="32"/>
  <c r="P11" i="32"/>
  <c r="Q11" i="32"/>
  <c r="F12" i="32"/>
  <c r="G12" i="32"/>
  <c r="H12" i="32"/>
  <c r="I12" i="32"/>
  <c r="J12" i="32"/>
  <c r="K12" i="32"/>
  <c r="L12" i="32"/>
  <c r="M12" i="32"/>
  <c r="N12" i="32"/>
  <c r="O12" i="32"/>
  <c r="P12" i="32"/>
  <c r="Q12" i="32"/>
  <c r="F13" i="32"/>
  <c r="G13" i="32"/>
  <c r="H13" i="32"/>
  <c r="I13" i="32"/>
  <c r="J13" i="32"/>
  <c r="K13" i="32"/>
  <c r="L13" i="32"/>
  <c r="M13" i="32"/>
  <c r="N13" i="32"/>
  <c r="O13" i="32"/>
  <c r="P13" i="32"/>
  <c r="Q13" i="32"/>
  <c r="F14" i="32"/>
  <c r="G14" i="32"/>
  <c r="H14" i="32"/>
  <c r="I14" i="32"/>
  <c r="J14" i="32"/>
  <c r="K14" i="32"/>
  <c r="L14" i="32"/>
  <c r="M14" i="32"/>
  <c r="N14" i="32"/>
  <c r="O14" i="32"/>
  <c r="P14" i="32"/>
  <c r="Q14" i="32"/>
  <c r="F15" i="32"/>
  <c r="G15" i="32"/>
  <c r="H15" i="32"/>
  <c r="I15" i="32"/>
  <c r="J15" i="32"/>
  <c r="K15" i="32"/>
  <c r="L15" i="32"/>
  <c r="M15" i="32"/>
  <c r="N15" i="32"/>
  <c r="O15" i="32"/>
  <c r="P15" i="32"/>
  <c r="Q15" i="32"/>
  <c r="F16" i="32"/>
  <c r="G16" i="32"/>
  <c r="H16" i="32"/>
  <c r="I16" i="32"/>
  <c r="J16" i="32"/>
  <c r="K16" i="32"/>
  <c r="L16" i="32"/>
  <c r="M16" i="32"/>
  <c r="N16" i="32"/>
  <c r="O16" i="32"/>
  <c r="P16" i="32"/>
  <c r="Q16" i="32"/>
  <c r="F17" i="32"/>
  <c r="G17" i="32"/>
  <c r="H17" i="32"/>
  <c r="I17" i="32"/>
  <c r="J17" i="32"/>
  <c r="K17" i="32"/>
  <c r="L17" i="32"/>
  <c r="M17" i="32"/>
  <c r="N17" i="32"/>
  <c r="O17" i="32"/>
  <c r="P17" i="32"/>
  <c r="Q17" i="32"/>
  <c r="E3" i="32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D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C7" i="32"/>
  <c r="C8" i="32"/>
  <c r="C9" i="32"/>
  <c r="C10" i="32"/>
  <c r="C11" i="32"/>
  <c r="C12" i="32"/>
  <c r="C13" i="32"/>
  <c r="C14" i="32"/>
  <c r="C15" i="32"/>
  <c r="C16" i="32"/>
  <c r="C17" i="32"/>
  <c r="C6" i="32"/>
  <c r="C5" i="32"/>
  <c r="C4" i="32"/>
  <c r="C3" i="32"/>
  <c r="B3" i="32"/>
  <c r="C4" i="33"/>
  <c r="D4" i="33"/>
  <c r="E4" i="33"/>
  <c r="F4" i="33"/>
  <c r="G4" i="33"/>
  <c r="H4" i="33"/>
  <c r="I4" i="33"/>
  <c r="J4" i="33"/>
  <c r="K4" i="33"/>
  <c r="L4" i="33"/>
  <c r="M4" i="33"/>
  <c r="N4" i="33"/>
  <c r="O4" i="33"/>
  <c r="P4" i="33"/>
  <c r="Q4" i="33"/>
  <c r="C5" i="33"/>
  <c r="D5" i="33"/>
  <c r="E5" i="33"/>
  <c r="F5" i="33"/>
  <c r="G5" i="33"/>
  <c r="H5" i="33"/>
  <c r="I5" i="33"/>
  <c r="J5" i="33"/>
  <c r="K5" i="33"/>
  <c r="L5" i="33"/>
  <c r="M5" i="33"/>
  <c r="N5" i="33"/>
  <c r="O5" i="33"/>
  <c r="P5" i="33"/>
  <c r="Q5" i="33"/>
  <c r="C6" i="33"/>
  <c r="D6" i="33"/>
  <c r="E6" i="33"/>
  <c r="F6" i="33"/>
  <c r="G6" i="33"/>
  <c r="H6" i="33"/>
  <c r="I6" i="33"/>
  <c r="J6" i="33"/>
  <c r="K6" i="33"/>
  <c r="L6" i="33"/>
  <c r="M6" i="33"/>
  <c r="N6" i="33"/>
  <c r="O6" i="33"/>
  <c r="P6" i="33"/>
  <c r="Q6" i="33"/>
  <c r="C7" i="33"/>
  <c r="D7" i="33"/>
  <c r="E7" i="33"/>
  <c r="F7" i="33"/>
  <c r="G7" i="33"/>
  <c r="H7" i="33"/>
  <c r="I7" i="33"/>
  <c r="J7" i="33"/>
  <c r="K7" i="33"/>
  <c r="L7" i="33"/>
  <c r="M7" i="33"/>
  <c r="N7" i="33"/>
  <c r="O7" i="33"/>
  <c r="P7" i="33"/>
  <c r="Q7" i="33"/>
  <c r="C8" i="33"/>
  <c r="D8" i="33"/>
  <c r="E8" i="33"/>
  <c r="F8" i="33"/>
  <c r="G8" i="33"/>
  <c r="H8" i="33"/>
  <c r="I8" i="33"/>
  <c r="J8" i="33"/>
  <c r="K8" i="33"/>
  <c r="L8" i="33"/>
  <c r="M8" i="33"/>
  <c r="N8" i="33"/>
  <c r="O8" i="33"/>
  <c r="P8" i="33"/>
  <c r="Q8" i="33"/>
  <c r="C9" i="33"/>
  <c r="D9" i="33"/>
  <c r="E9" i="33"/>
  <c r="F9" i="33"/>
  <c r="G9" i="33"/>
  <c r="H9" i="33"/>
  <c r="I9" i="33"/>
  <c r="J9" i="33"/>
  <c r="K9" i="33"/>
  <c r="L9" i="33"/>
  <c r="M9" i="33"/>
  <c r="N9" i="33"/>
  <c r="O9" i="33"/>
  <c r="P9" i="33"/>
  <c r="Q9" i="33"/>
  <c r="C10" i="33"/>
  <c r="D10" i="33"/>
  <c r="E10" i="33"/>
  <c r="F10" i="33"/>
  <c r="G10" i="33"/>
  <c r="H10" i="33"/>
  <c r="I10" i="33"/>
  <c r="J10" i="33"/>
  <c r="K10" i="33"/>
  <c r="L10" i="33"/>
  <c r="M10" i="33"/>
  <c r="N10" i="33"/>
  <c r="O10" i="33"/>
  <c r="P10" i="33"/>
  <c r="Q10" i="33"/>
  <c r="C11" i="33"/>
  <c r="D11" i="33"/>
  <c r="E11" i="33"/>
  <c r="F11" i="33"/>
  <c r="G11" i="33"/>
  <c r="H11" i="33"/>
  <c r="I11" i="33"/>
  <c r="J11" i="33"/>
  <c r="K11" i="33"/>
  <c r="L11" i="33"/>
  <c r="M11" i="33"/>
  <c r="N11" i="33"/>
  <c r="O11" i="33"/>
  <c r="P11" i="33"/>
  <c r="Q11" i="33"/>
  <c r="C12" i="33"/>
  <c r="D12" i="33"/>
  <c r="E12" i="33"/>
  <c r="F12" i="33"/>
  <c r="G12" i="33"/>
  <c r="H12" i="33"/>
  <c r="I12" i="33"/>
  <c r="J12" i="33"/>
  <c r="K12" i="33"/>
  <c r="L12" i="33"/>
  <c r="M12" i="33"/>
  <c r="N12" i="33"/>
  <c r="O12" i="33"/>
  <c r="P12" i="33"/>
  <c r="Q12" i="33"/>
  <c r="C13" i="33"/>
  <c r="D13" i="33"/>
  <c r="E13" i="33"/>
  <c r="F13" i="33"/>
  <c r="G13" i="33"/>
  <c r="H13" i="33"/>
  <c r="I13" i="33"/>
  <c r="J13" i="33"/>
  <c r="K13" i="33"/>
  <c r="L13" i="33"/>
  <c r="M13" i="33"/>
  <c r="N13" i="33"/>
  <c r="O13" i="33"/>
  <c r="P13" i="33"/>
  <c r="Q13" i="33"/>
  <c r="C14" i="33"/>
  <c r="D14" i="33"/>
  <c r="E14" i="33"/>
  <c r="F14" i="33"/>
  <c r="G14" i="33"/>
  <c r="H14" i="33"/>
  <c r="I14" i="33"/>
  <c r="J14" i="33"/>
  <c r="K14" i="33"/>
  <c r="L14" i="33"/>
  <c r="M14" i="33"/>
  <c r="N14" i="33"/>
  <c r="O14" i="33"/>
  <c r="P14" i="33"/>
  <c r="Q14" i="33"/>
  <c r="C15" i="33"/>
  <c r="D15" i="33"/>
  <c r="E15" i="33"/>
  <c r="F15" i="33"/>
  <c r="G15" i="33"/>
  <c r="H15" i="33"/>
  <c r="I15" i="33"/>
  <c r="J15" i="33"/>
  <c r="K15" i="33"/>
  <c r="L15" i="33"/>
  <c r="M15" i="33"/>
  <c r="N15" i="33"/>
  <c r="O15" i="33"/>
  <c r="P15" i="33"/>
  <c r="Q15" i="33"/>
  <c r="C16" i="33"/>
  <c r="D16" i="33"/>
  <c r="E16" i="33"/>
  <c r="F16" i="33"/>
  <c r="G16" i="33"/>
  <c r="H16" i="33"/>
  <c r="I16" i="33"/>
  <c r="J16" i="33"/>
  <c r="K16" i="33"/>
  <c r="L16" i="33"/>
  <c r="M16" i="33"/>
  <c r="N16" i="33"/>
  <c r="O16" i="33"/>
  <c r="P16" i="33"/>
  <c r="Q16" i="33"/>
  <c r="C17" i="33"/>
  <c r="D17" i="33"/>
  <c r="E17" i="33"/>
  <c r="F17" i="33"/>
  <c r="G17" i="33"/>
  <c r="H17" i="33"/>
  <c r="I17" i="33"/>
  <c r="J17" i="33"/>
  <c r="K17" i="33"/>
  <c r="L17" i="33"/>
  <c r="M17" i="33"/>
  <c r="N17" i="33"/>
  <c r="O17" i="33"/>
  <c r="P17" i="33"/>
  <c r="Q17" i="33"/>
  <c r="C18" i="33"/>
  <c r="D18" i="33"/>
  <c r="E18" i="33"/>
  <c r="F18" i="33"/>
  <c r="G18" i="33"/>
  <c r="H18" i="33"/>
  <c r="I18" i="33"/>
  <c r="J18" i="33"/>
  <c r="K18" i="33"/>
  <c r="L18" i="33"/>
  <c r="M18" i="33"/>
  <c r="N18" i="33"/>
  <c r="O18" i="33"/>
  <c r="P18" i="33"/>
  <c r="Q18" i="33"/>
  <c r="E3" i="33"/>
  <c r="F3" i="33"/>
  <c r="G3" i="33"/>
  <c r="H3" i="33"/>
  <c r="I3" i="33"/>
  <c r="J3" i="33"/>
  <c r="K3" i="33"/>
  <c r="L3" i="33"/>
  <c r="M3" i="33"/>
  <c r="N3" i="33"/>
  <c r="O3" i="33"/>
  <c r="P3" i="33"/>
  <c r="Q3" i="33"/>
  <c r="C3" i="33"/>
  <c r="D3" i="33"/>
  <c r="B4" i="33"/>
  <c r="B5" i="33"/>
  <c r="B6" i="33"/>
  <c r="B7" i="33"/>
  <c r="B8" i="33"/>
  <c r="B9" i="33"/>
  <c r="B10" i="33"/>
  <c r="B11" i="33"/>
  <c r="B12" i="33"/>
  <c r="B13" i="33"/>
  <c r="B14" i="33"/>
  <c r="B15" i="33"/>
  <c r="B16" i="33"/>
  <c r="B17" i="33"/>
  <c r="B18" i="33"/>
  <c r="B3" i="33"/>
</calcChain>
</file>

<file path=xl/sharedStrings.xml><?xml version="1.0" encoding="utf-8"?>
<sst xmlns="http://schemas.openxmlformats.org/spreadsheetml/2006/main" count="34" uniqueCount="11">
  <si>
    <t>時間t/場所x</t>
    <rPh sb="0" eb="2">
      <t>ジカン</t>
    </rPh>
    <rPh sb="4" eb="6">
      <t>バショ</t>
    </rPh>
    <phoneticPr fontId="1"/>
  </si>
  <si>
    <t>c</t>
    <phoneticPr fontId="1"/>
  </si>
  <si>
    <t>D</t>
    <phoneticPr fontId="1"/>
  </si>
  <si>
    <t>T_t</t>
    <phoneticPr fontId="1"/>
  </si>
  <si>
    <t>T_x</t>
    <phoneticPr fontId="1"/>
  </si>
  <si>
    <t>T_xx</t>
    <phoneticPr fontId="1"/>
  </si>
  <si>
    <t>T_xxx</t>
    <phoneticPr fontId="1"/>
  </si>
  <si>
    <t>T_tt</t>
    <phoneticPr fontId="1"/>
  </si>
  <si>
    <t>T_xxxx</t>
    <phoneticPr fontId="1"/>
  </si>
  <si>
    <t>微分電卓</t>
    <rPh sb="0" eb="2">
      <t>ビブン</t>
    </rPh>
    <rPh sb="2" eb="4">
      <t>デンタク</t>
    </rPh>
    <phoneticPr fontId="1"/>
  </si>
  <si>
    <t>http://ja.numberempire.com/derivativecalculator.php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</si>
</sst>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3" fillId="0" borderId="0" xfId="2"/>
  </cellXfs>
  <cellStyles count="3">
    <cellStyle name="ハイパーリンク" xfId="2" builtinId="8"/>
    <cellStyle name="標準" xfId="0" builtinId="0"/>
    <cellStyle name="標準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ja.numberempire.com/derivativecalculator.php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8"/>
  <sheetViews>
    <sheetView workbookViewId="0">
      <selection activeCell="E18" sqref="E18"/>
    </sheetView>
  </sheetViews>
  <sheetFormatPr defaultRowHeight="13.5"/>
  <cols>
    <col min="1" max="1" width="13.375" customWidth="1"/>
  </cols>
  <sheetData>
    <row r="1" spans="1:17">
      <c r="A1" t="s">
        <v>1</v>
      </c>
      <c r="B1">
        <v>1</v>
      </c>
      <c r="C1" t="s">
        <v>2</v>
      </c>
      <c r="D1">
        <v>5</v>
      </c>
    </row>
    <row r="2" spans="1:17">
      <c r="A2" t="s">
        <v>0</v>
      </c>
      <c r="B2">
        <v>0</v>
      </c>
      <c r="C2">
        <v>0.1</v>
      </c>
      <c r="D2">
        <v>0.2</v>
      </c>
      <c r="E2">
        <v>0.3</v>
      </c>
      <c r="F2">
        <v>0.4</v>
      </c>
      <c r="G2">
        <v>0.5</v>
      </c>
      <c r="H2">
        <v>0.6</v>
      </c>
      <c r="I2">
        <v>0.7</v>
      </c>
      <c r="J2">
        <v>0.8</v>
      </c>
      <c r="K2">
        <v>0.9</v>
      </c>
      <c r="L2">
        <v>1</v>
      </c>
      <c r="M2">
        <v>1.1000000000000001</v>
      </c>
      <c r="N2">
        <v>1.2</v>
      </c>
      <c r="O2">
        <v>1.3</v>
      </c>
      <c r="P2">
        <v>1.4</v>
      </c>
      <c r="Q2">
        <v>1.5</v>
      </c>
    </row>
    <row r="3" spans="1:17">
      <c r="A3">
        <v>0.1</v>
      </c>
      <c r="B3">
        <f>0.5*EXP($B$1*B$2/(2*$D$1))*(EXP(-$B$1*B$2/(2*$D$1))*(1-ERF((B$2-$B$1*$A3)/(2*SQRT($D$1*$A3))))+EXP($B$1*B$2/(2*$D$1))*(1-ERF((B$2+$B$1*$A3)/(2*SQRT($D$1*$A3)))))</f>
        <v>1</v>
      </c>
      <c r="C3">
        <f t="shared" ref="C3:Q18" si="0">0.5*EXP($B$1*C$2/(2*$D$1))*(EXP(-$B$1*C$2/(2*$D$1))*(1-ERF((C$2-$B$1*$A3)/(2*SQRT($D$1*$A3))))+EXP($B$1*C$2/(2*$D$1))*(1-ERF((C$2+$B$1*$A3)/(2*SQRT($D$1*$A3)))))</f>
        <v>0.92923980823347352</v>
      </c>
      <c r="D3">
        <f t="shared" si="0"/>
        <v>0.85785407120455581</v>
      </c>
      <c r="E3">
        <f t="shared" si="0"/>
        <v>0.7866260784640049</v>
      </c>
      <c r="F3">
        <f t="shared" si="0"/>
        <v>0.71632330340517048</v>
      </c>
      <c r="G3">
        <f t="shared" si="0"/>
        <v>0.64767482831863343</v>
      </c>
      <c r="H3">
        <f t="shared" si="0"/>
        <v>0.58135079480414875</v>
      </c>
      <c r="I3">
        <f t="shared" si="0"/>
        <v>0.51794483188700946</v>
      </c>
      <c r="J3">
        <f t="shared" si="0"/>
        <v>0.45796021023361061</v>
      </c>
      <c r="K3">
        <f t="shared" si="0"/>
        <v>0.40180022334063697</v>
      </c>
      <c r="L3">
        <f t="shared" si="0"/>
        <v>0.34976302637539702</v>
      </c>
      <c r="M3">
        <f t="shared" si="0"/>
        <v>0.30204089239109144</v>
      </c>
      <c r="N3">
        <f t="shared" si="0"/>
        <v>0.25872359472654016</v>
      </c>
      <c r="O3">
        <f t="shared" si="0"/>
        <v>0.21980541128060124</v>
      </c>
      <c r="P3">
        <f t="shared" si="0"/>
        <v>0.18519508426326398</v>
      </c>
      <c r="Q3">
        <f t="shared" si="0"/>
        <v>0.15472796578334599</v>
      </c>
    </row>
    <row r="4" spans="1:17">
      <c r="A4">
        <v>0.2</v>
      </c>
      <c r="B4">
        <f t="shared" ref="B4:B18" si="1">0.5*EXP($B$1*B$2/(2*$D$1))*(EXP(-$B$1*B$2/(2*$D$1))*(1-ERF((B$2-$B$1*$A4)/(2*SQRT($D$1*$A4))))+EXP($B$1*B$2/(2*$D$1))*(1-ERF((B$2+$B$1*$A4)/(2*SQRT($D$1*$A4)))))</f>
        <v>1</v>
      </c>
      <c r="C4">
        <f t="shared" si="0"/>
        <v>0.95259180132723964</v>
      </c>
      <c r="D4">
        <f t="shared" si="0"/>
        <v>0.9045097599507903</v>
      </c>
      <c r="E4">
        <f t="shared" si="0"/>
        <v>0.85602555444637829</v>
      </c>
      <c r="F4">
        <f t="shared" si="0"/>
        <v>0.80741351652133575</v>
      </c>
      <c r="G4">
        <f t="shared" si="0"/>
        <v>0.75894646710570057</v>
      </c>
      <c r="H4">
        <f t="shared" si="0"/>
        <v>0.71089161540655232</v>
      </c>
      <c r="I4">
        <f t="shared" si="0"/>
        <v>0.66350662229125912</v>
      </c>
      <c r="J4">
        <f t="shared" si="0"/>
        <v>0.61703592328458201</v>
      </c>
      <c r="K4">
        <f t="shared" si="0"/>
        <v>0.57170739717142571</v>
      </c>
      <c r="L4">
        <f t="shared" si="0"/>
        <v>0.52772945411001337</v>
      </c>
      <c r="M4">
        <f t="shared" si="0"/>
        <v>0.4852886028139432</v>
      </c>
      <c r="N4">
        <f t="shared" si="0"/>
        <v>0.44454754037785321</v>
      </c>
      <c r="O4">
        <f t="shared" si="0"/>
        <v>0.40564379137677875</v>
      </c>
      <c r="P4">
        <f t="shared" si="0"/>
        <v>0.36868890566021667</v>
      </c>
      <c r="Q4">
        <f t="shared" si="0"/>
        <v>0.33376820747010311</v>
      </c>
    </row>
    <row r="5" spans="1:17">
      <c r="A5">
        <v>0.3</v>
      </c>
      <c r="B5">
        <f t="shared" si="1"/>
        <v>1</v>
      </c>
      <c r="C5">
        <f t="shared" si="0"/>
        <v>0.96290028515461756</v>
      </c>
      <c r="D5">
        <f t="shared" si="0"/>
        <v>0.92520504511647927</v>
      </c>
      <c r="E5">
        <f t="shared" si="0"/>
        <v>0.88705773234217133</v>
      </c>
      <c r="F5">
        <f t="shared" si="0"/>
        <v>0.84860470152003775</v>
      </c>
      <c r="G5">
        <f t="shared" si="0"/>
        <v>0.80999371807178566</v>
      </c>
      <c r="H5">
        <f t="shared" si="0"/>
        <v>0.77137245192640291</v>
      </c>
      <c r="I5">
        <f t="shared" si="0"/>
        <v>0.73288698174145073</v>
      </c>
      <c r="J5">
        <f t="shared" si="0"/>
        <v>0.69468033440862242</v>
      </c>
      <c r="K5">
        <f t="shared" si="0"/>
        <v>0.65689108376777561</v>
      </c>
      <c r="L5">
        <f t="shared" si="0"/>
        <v>0.61965203099518962</v>
      </c>
      <c r="M5">
        <f t="shared" si="0"/>
        <v>0.5830889871722974</v>
      </c>
      <c r="N5">
        <f t="shared" si="0"/>
        <v>0.54731967613960752</v>
      </c>
      <c r="O5">
        <f t="shared" si="0"/>
        <v>0.51245277296816416</v>
      </c>
      <c r="P5">
        <f t="shared" si="0"/>
        <v>0.47858709031847224</v>
      </c>
      <c r="Q5">
        <f t="shared" si="0"/>
        <v>0.445810921691915</v>
      </c>
    </row>
    <row r="6" spans="1:17">
      <c r="A6">
        <v>0.4</v>
      </c>
      <c r="B6">
        <f t="shared" si="1"/>
        <v>1</v>
      </c>
      <c r="C6">
        <f t="shared" si="0"/>
        <v>0.96901803665278419</v>
      </c>
      <c r="D6">
        <f t="shared" si="0"/>
        <v>0.93750974575861368</v>
      </c>
      <c r="E6">
        <f t="shared" si="0"/>
        <v>0.90556529300518018</v>
      </c>
      <c r="F6">
        <f t="shared" si="0"/>
        <v>0.87327717111549608</v>
      </c>
      <c r="G6">
        <f t="shared" si="0"/>
        <v>0.84073949258600833</v>
      </c>
      <c r="H6">
        <f t="shared" si="0"/>
        <v>0.80804726623057088</v>
      </c>
      <c r="I6">
        <f t="shared" si="0"/>
        <v>0.77529566662586924</v>
      </c>
      <c r="J6">
        <f t="shared" si="0"/>
        <v>0.74257930564400543</v>
      </c>
      <c r="K6">
        <f t="shared" si="0"/>
        <v>0.70999151518728787</v>
      </c>
      <c r="L6">
        <f t="shared" si="0"/>
        <v>0.67762365001081692</v>
      </c>
      <c r="M6">
        <f t="shared" si="0"/>
        <v>0.64556441913582308</v>
      </c>
      <c r="N6">
        <f t="shared" si="0"/>
        <v>0.61389925382982136</v>
      </c>
      <c r="O6">
        <f t="shared" si="0"/>
        <v>0.58270971947061034</v>
      </c>
      <c r="P6">
        <f t="shared" si="0"/>
        <v>0.5520729778348501</v>
      </c>
      <c r="Q6">
        <f t="shared" si="0"/>
        <v>0.52206130547568386</v>
      </c>
    </row>
    <row r="7" spans="1:17">
      <c r="A7">
        <v>0.5</v>
      </c>
      <c r="B7">
        <f t="shared" si="1"/>
        <v>1</v>
      </c>
      <c r="C7">
        <f t="shared" si="0"/>
        <v>0.9731733789244057</v>
      </c>
      <c r="D7">
        <f t="shared" si="0"/>
        <v>0.94587572736901293</v>
      </c>
      <c r="E7">
        <f t="shared" si="0"/>
        <v>0.91816942937141188</v>
      </c>
      <c r="F7">
        <f t="shared" si="0"/>
        <v>0.89011870513626357</v>
      </c>
      <c r="G7">
        <f t="shared" si="0"/>
        <v>0.86178921923880791</v>
      </c>
      <c r="H7">
        <f t="shared" si="0"/>
        <v>0.83324767659512267</v>
      </c>
      <c r="I7">
        <f t="shared" si="0"/>
        <v>0.80456141025606509</v>
      </c>
      <c r="J7">
        <f t="shared" si="0"/>
        <v>0.77579796518111621</v>
      </c>
      <c r="K7">
        <f t="shared" si="0"/>
        <v>0.74702468218938589</v>
      </c>
      <c r="L7">
        <f t="shared" si="0"/>
        <v>0.71830828626715082</v>
      </c>
      <c r="M7">
        <f t="shared" si="0"/>
        <v>0.68971448333503882</v>
      </c>
      <c r="N7">
        <f t="shared" si="0"/>
        <v>0.66130756944482882</v>
      </c>
      <c r="O7">
        <f t="shared" si="0"/>
        <v>0.63315005618835629</v>
      </c>
      <c r="P7">
        <f t="shared" si="0"/>
        <v>0.60530231586268812</v>
      </c>
      <c r="Q7">
        <f t="shared" si="0"/>
        <v>0.57782224965092333</v>
      </c>
    </row>
    <row r="8" spans="1:17">
      <c r="A8">
        <v>0.6</v>
      </c>
      <c r="B8">
        <f t="shared" si="1"/>
        <v>1</v>
      </c>
      <c r="C8">
        <f t="shared" si="0"/>
        <v>0.97622598181098474</v>
      </c>
      <c r="D8">
        <f t="shared" si="0"/>
        <v>0.95202537889565952</v>
      </c>
      <c r="E8">
        <f t="shared" si="0"/>
        <v>0.92744406430663318</v>
      </c>
      <c r="F8">
        <f t="shared" si="0"/>
        <v>0.90252938309334285</v>
      </c>
      <c r="G8">
        <f t="shared" si="0"/>
        <v>0.8773299127215396</v>
      </c>
      <c r="H8">
        <f t="shared" si="0"/>
        <v>0.85189521456785866</v>
      </c>
      <c r="I8">
        <f t="shared" si="0"/>
        <v>0.82627557856012757</v>
      </c>
      <c r="J8">
        <f t="shared" si="0"/>
        <v>0.80052176310620426</v>
      </c>
      <c r="K8">
        <f t="shared" si="0"/>
        <v>0.77468473250131653</v>
      </c>
      <c r="L8">
        <f t="shared" si="0"/>
        <v>0.74881539402538</v>
      </c>
      <c r="M8">
        <f t="shared" si="0"/>
        <v>0.72296433693743067</v>
      </c>
      <c r="N8">
        <f t="shared" si="0"/>
        <v>0.69718157554415938</v>
      </c>
      <c r="O8">
        <f t="shared" si="0"/>
        <v>0.67151629846419902</v>
      </c>
      <c r="P8">
        <f t="shared" si="0"/>
        <v>0.64601662613010979</v>
      </c>
      <c r="Q8">
        <f t="shared" si="0"/>
        <v>0.62072937846721388</v>
      </c>
    </row>
    <row r="9" spans="1:17">
      <c r="A9">
        <v>0.7</v>
      </c>
      <c r="B9">
        <f t="shared" si="1"/>
        <v>1</v>
      </c>
      <c r="C9">
        <f t="shared" si="0"/>
        <v>0.97858692522105195</v>
      </c>
      <c r="D9">
        <f t="shared" si="0"/>
        <v>0.95678367286513144</v>
      </c>
      <c r="E9">
        <f t="shared" si="0"/>
        <v>0.93462542492843137</v>
      </c>
      <c r="F9">
        <f t="shared" si="0"/>
        <v>0.91214856652772092</v>
      </c>
      <c r="G9">
        <f t="shared" si="0"/>
        <v>0.88939052904888638</v>
      </c>
      <c r="H9">
        <f t="shared" si="0"/>
        <v>0.86638962670652786</v>
      </c>
      <c r="I9">
        <f t="shared" si="0"/>
        <v>0.84318488767500321</v>
      </c>
      <c r="J9">
        <f t="shared" si="0"/>
        <v>0.81981588100110858</v>
      </c>
      <c r="K9">
        <f t="shared" si="0"/>
        <v>0.79632254054635276</v>
      </c>
      <c r="L9">
        <f t="shared" si="0"/>
        <v>0.77274498723203411</v>
      </c>
      <c r="M9">
        <f t="shared" si="0"/>
        <v>0.74912335087279791</v>
      </c>
      <c r="N9">
        <f t="shared" si="0"/>
        <v>0.72549759288389837</v>
      </c>
      <c r="O9">
        <f t="shared" si="0"/>
        <v>0.70190733113406056</v>
      </c>
      <c r="P9">
        <f t="shared" si="0"/>
        <v>0.67839166818983676</v>
      </c>
      <c r="Q9">
        <f t="shared" si="0"/>
        <v>0.65498902415903593</v>
      </c>
    </row>
    <row r="10" spans="1:17">
      <c r="A10">
        <v>0.8</v>
      </c>
      <c r="B10">
        <f t="shared" si="1"/>
        <v>1</v>
      </c>
      <c r="C10">
        <f t="shared" si="0"/>
        <v>0.98048070755549344</v>
      </c>
      <c r="D10">
        <f t="shared" si="0"/>
        <v>0.96060163076948035</v>
      </c>
      <c r="E10">
        <f t="shared" si="0"/>
        <v>0.94039059648862566</v>
      </c>
      <c r="F10">
        <f t="shared" si="0"/>
        <v>0.91987643253962059</v>
      </c>
      <c r="G10">
        <f t="shared" si="0"/>
        <v>0.89908885978605391</v>
      </c>
      <c r="H10">
        <f t="shared" si="0"/>
        <v>0.87805837921958463</v>
      </c>
      <c r="I10">
        <f t="shared" si="0"/>
        <v>0.85681615478176021</v>
      </c>
      <c r="J10">
        <f t="shared" si="0"/>
        <v>0.83539389264738084</v>
      </c>
      <c r="K10">
        <f t="shared" si="0"/>
        <v>0.81382371772857276</v>
      </c>
      <c r="L10">
        <f t="shared" si="0"/>
        <v>0.79213804818033173</v>
      </c>
      <c r="M10">
        <f t="shared" si="0"/>
        <v>0.77036946870306833</v>
      </c>
      <c r="N10">
        <f t="shared" si="0"/>
        <v>0.74855060344544477</v>
      </c>
      <c r="O10">
        <f t="shared" si="0"/>
        <v>0.72671398931147768</v>
      </c>
      <c r="P10">
        <f t="shared" si="0"/>
        <v>0.70489195046951958</v>
      </c>
      <c r="Q10">
        <f t="shared" si="0"/>
        <v>0.68311647484737814</v>
      </c>
    </row>
    <row r="11" spans="1:17">
      <c r="A11">
        <v>0.9</v>
      </c>
      <c r="B11">
        <f t="shared" si="1"/>
        <v>1</v>
      </c>
      <c r="C11">
        <f t="shared" si="0"/>
        <v>0.9820416398506906</v>
      </c>
      <c r="D11">
        <f t="shared" si="0"/>
        <v>0.96374929465332004</v>
      </c>
      <c r="E11">
        <f t="shared" si="0"/>
        <v>0.9451454973422112</v>
      </c>
      <c r="F11">
        <f t="shared" si="0"/>
        <v>0.92625362655154653</v>
      </c>
      <c r="G11">
        <f t="shared" si="0"/>
        <v>0.90709782945512352</v>
      </c>
      <c r="H11">
        <f t="shared" si="0"/>
        <v>0.88770294078462897</v>
      </c>
      <c r="I11">
        <f t="shared" si="0"/>
        <v>0.86809439846665504</v>
      </c>
      <c r="J11">
        <f t="shared" si="0"/>
        <v>0.84829815634312034</v>
      </c>
      <c r="K11">
        <f t="shared" si="0"/>
        <v>0.82834059446067843</v>
      </c>
      <c r="L11">
        <f t="shared" si="0"/>
        <v>0.80824842743184289</v>
      </c>
      <c r="M11">
        <f t="shared" si="0"/>
        <v>0.78804861138381599</v>
      </c>
      <c r="N11">
        <f t="shared" si="0"/>
        <v>0.76776825002021643</v>
      </c>
      <c r="O11">
        <f t="shared" si="0"/>
        <v>0.74743450032601066</v>
      </c>
      <c r="P11">
        <f t="shared" si="0"/>
        <v>0.72707447844690098</v>
      </c>
      <c r="Q11">
        <f t="shared" si="0"/>
        <v>0.70671516627121955</v>
      </c>
    </row>
    <row r="12" spans="1:17">
      <c r="A12">
        <v>1</v>
      </c>
      <c r="B12">
        <f t="shared" si="1"/>
        <v>1</v>
      </c>
      <c r="C12">
        <f t="shared" si="0"/>
        <v>0.98335562794321196</v>
      </c>
      <c r="D12">
        <f t="shared" si="0"/>
        <v>0.96639948474272186</v>
      </c>
      <c r="E12">
        <f t="shared" si="0"/>
        <v>0.9491501574116139</v>
      </c>
      <c r="F12">
        <f t="shared" si="0"/>
        <v>0.93162695691548092</v>
      </c>
      <c r="G12">
        <f t="shared" si="0"/>
        <v>0.91384986134886137</v>
      </c>
      <c r="H12">
        <f t="shared" si="0"/>
        <v>0.89583945611395721</v>
      </c>
      <c r="I12">
        <f t="shared" si="0"/>
        <v>0.87761687139154043</v>
      </c>
      <c r="J12">
        <f t="shared" si="0"/>
        <v>0.85920371721160838</v>
      </c>
      <c r="K12">
        <f t="shared" si="0"/>
        <v>0.84062201644694534</v>
      </c>
      <c r="L12">
        <f t="shared" si="0"/>
        <v>0.82189413606608119</v>
      </c>
      <c r="M12">
        <f t="shared" si="0"/>
        <v>0.803042716993149</v>
      </c>
      <c r="N12">
        <f t="shared" si="0"/>
        <v>0.78409060293070798</v>
      </c>
      <c r="O12">
        <f t="shared" si="0"/>
        <v>0.7650607685076618</v>
      </c>
      <c r="P12">
        <f t="shared" si="0"/>
        <v>0.745976247117906</v>
      </c>
      <c r="Q12">
        <f t="shared" si="0"/>
        <v>0.72686005881626292</v>
      </c>
    </row>
    <row r="13" spans="1:17">
      <c r="A13">
        <v>1.1000000000000001</v>
      </c>
      <c r="B13">
        <f t="shared" si="1"/>
        <v>1</v>
      </c>
      <c r="C13">
        <f t="shared" si="0"/>
        <v>0.98448050192916658</v>
      </c>
      <c r="D13">
        <f t="shared" si="0"/>
        <v>0.96866859288451701</v>
      </c>
      <c r="E13">
        <f t="shared" si="0"/>
        <v>0.95257983556186521</v>
      </c>
      <c r="F13">
        <f t="shared" si="0"/>
        <v>0.93623041939045781</v>
      </c>
      <c r="G13">
        <f t="shared" si="0"/>
        <v>0.91963711767343559</v>
      </c>
      <c r="H13">
        <f t="shared" si="0"/>
        <v>0.90281724233656435</v>
      </c>
      <c r="I13">
        <f t="shared" si="0"/>
        <v>0.88578859648249508</v>
      </c>
      <c r="J13">
        <f t="shared" si="0"/>
        <v>0.86856942496084177</v>
      </c>
      <c r="K13">
        <f t="shared" si="0"/>
        <v>0.85117836317613049</v>
      </c>
      <c r="L13">
        <f t="shared" si="0"/>
        <v>0.83363438436601844</v>
      </c>
      <c r="M13">
        <f t="shared" si="0"/>
        <v>0.81595674559110787</v>
      </c>
      <c r="N13">
        <f t="shared" si="0"/>
        <v>0.79816493268503341</v>
      </c>
      <c r="O13">
        <f t="shared" si="0"/>
        <v>0.78027860441930008</v>
      </c>
      <c r="P13">
        <f t="shared" si="0"/>
        <v>0.76231753614149955</v>
      </c>
      <c r="Q13">
        <f t="shared" si="0"/>
        <v>0.74430156314802309</v>
      </c>
    </row>
    <row r="14" spans="1:17">
      <c r="A14">
        <v>1.2</v>
      </c>
      <c r="B14">
        <f t="shared" si="1"/>
        <v>1</v>
      </c>
      <c r="C14">
        <f t="shared" si="0"/>
        <v>0.98545680088389231</v>
      </c>
      <c r="D14">
        <f t="shared" si="0"/>
        <v>0.97063823979705299</v>
      </c>
      <c r="E14">
        <f t="shared" si="0"/>
        <v>0.95555750814745255</v>
      </c>
      <c r="F14">
        <f t="shared" si="0"/>
        <v>0.94022834518409071</v>
      </c>
      <c r="G14">
        <f t="shared" si="0"/>
        <v>0.9246650050320192</v>
      </c>
      <c r="H14">
        <f t="shared" si="0"/>
        <v>0.90888222179048139</v>
      </c>
      <c r="I14">
        <f t="shared" si="0"/>
        <v>0.89289517283202102</v>
      </c>
      <c r="J14">
        <f t="shared" si="0"/>
        <v>0.87671944045019967</v>
      </c>
      <c r="K14">
        <f t="shared" si="0"/>
        <v>0.8603709720125593</v>
      </c>
      <c r="L14">
        <f t="shared" si="0"/>
        <v>0.84386603878354727</v>
      </c>
      <c r="M14">
        <f t="shared" si="0"/>
        <v>0.82722119358929014</v>
      </c>
      <c r="N14">
        <f t="shared" si="0"/>
        <v>0.81045322750224202</v>
      </c>
      <c r="O14">
        <f t="shared" si="0"/>
        <v>0.79357912572887523</v>
      </c>
      <c r="P14">
        <f t="shared" si="0"/>
        <v>0.77661602288761256</v>
      </c>
      <c r="Q14">
        <f t="shared" si="0"/>
        <v>0.75958115786715574</v>
      </c>
    </row>
    <row r="15" spans="1:17">
      <c r="A15">
        <v>1.3</v>
      </c>
      <c r="B15">
        <f t="shared" si="1"/>
        <v>1</v>
      </c>
      <c r="C15">
        <f t="shared" si="0"/>
        <v>0.98631389286317239</v>
      </c>
      <c r="D15">
        <f t="shared" si="0"/>
        <v>0.97236757230348358</v>
      </c>
      <c r="E15">
        <f t="shared" si="0"/>
        <v>0.95817233497618415</v>
      </c>
      <c r="F15">
        <f t="shared" si="0"/>
        <v>0.94373996044713004</v>
      </c>
      <c r="G15">
        <f t="shared" si="0"/>
        <v>0.9290826854241877</v>
      </c>
      <c r="H15">
        <f t="shared" si="0"/>
        <v>0.91421317639944655</v>
      </c>
      <c r="I15">
        <f t="shared" si="0"/>
        <v>0.89914450080072095</v>
      </c>
      <c r="J15">
        <f t="shared" si="0"/>
        <v>0.88389009675828933</v>
      </c>
      <c r="K15">
        <f t="shared" si="0"/>
        <v>0.86846374159980344</v>
      </c>
      <c r="L15">
        <f t="shared" si="0"/>
        <v>0.85287951919265947</v>
      </c>
      <c r="M15">
        <f t="shared" si="0"/>
        <v>0.83715178625887965</v>
      </c>
      <c r="N15">
        <f t="shared" si="0"/>
        <v>0.82129513779264296</v>
      </c>
      <c r="O15">
        <f t="shared" si="0"/>
        <v>0.80532437171498372</v>
      </c>
      <c r="P15">
        <f t="shared" si="0"/>
        <v>0.78925445290386165</v>
      </c>
      <c r="Q15">
        <f t="shared" si="0"/>
        <v>0.77310047674070226</v>
      </c>
    </row>
    <row r="16" spans="1:17">
      <c r="A16">
        <v>1.4</v>
      </c>
      <c r="B16">
        <f t="shared" si="1"/>
        <v>1</v>
      </c>
      <c r="C16">
        <f t="shared" si="0"/>
        <v>0.98707364090112448</v>
      </c>
      <c r="D16">
        <f t="shared" si="0"/>
        <v>0.9739006332172736</v>
      </c>
      <c r="E16">
        <f t="shared" si="0"/>
        <v>0.96049073526129425</v>
      </c>
      <c r="F16">
        <f t="shared" si="0"/>
        <v>0.94685413415059949</v>
      </c>
      <c r="G16">
        <f t="shared" si="0"/>
        <v>0.93300142538887387</v>
      </c>
      <c r="H16">
        <f t="shared" si="0"/>
        <v>0.91894359112875412</v>
      </c>
      <c r="I16">
        <f t="shared" si="0"/>
        <v>0.90469197718712158</v>
      </c>
      <c r="J16">
        <f t="shared" si="0"/>
        <v>0.89025826889045823</v>
      </c>
      <c r="K16">
        <f t="shared" si="0"/>
        <v>0.87565446583318596</v>
      </c>
      <c r="L16">
        <f t="shared" si="0"/>
        <v>0.8608928556369666</v>
      </c>
      <c r="M16">
        <f t="shared" si="0"/>
        <v>0.84598598680359116</v>
      </c>
      <c r="N16">
        <f t="shared" si="0"/>
        <v>0.83094664075827684</v>
      </c>
      <c r="O16">
        <f t="shared" si="0"/>
        <v>0.81578780318389732</v>
      </c>
      <c r="P16">
        <f t="shared" si="0"/>
        <v>0.80052263474989704</v>
      </c>
      <c r="Q16">
        <f t="shared" si="0"/>
        <v>0.78516444134231489</v>
      </c>
    </row>
    <row r="17" spans="1:17">
      <c r="A17">
        <v>1.5</v>
      </c>
      <c r="B17">
        <f t="shared" si="1"/>
        <v>1</v>
      </c>
      <c r="C17">
        <f t="shared" si="0"/>
        <v>0.98775269888415074</v>
      </c>
      <c r="D17">
        <f t="shared" si="0"/>
        <v>0.9752709786953927</v>
      </c>
      <c r="E17">
        <f t="shared" si="0"/>
        <v>0.96256333160494789</v>
      </c>
      <c r="F17">
        <f t="shared" si="0"/>
        <v>0.94963863300658602</v>
      </c>
      <c r="G17">
        <f t="shared" si="0"/>
        <v>0.93650612515141984</v>
      </c>
      <c r="H17">
        <f t="shared" si="0"/>
        <v>0.92317539967668405</v>
      </c>
      <c r="I17">
        <f t="shared" si="0"/>
        <v>0.90965637908141495</v>
      </c>
      <c r="J17">
        <f t="shared" si="0"/>
        <v>0.89595929720652456</v>
      </c>
      <c r="K17">
        <f t="shared" si="0"/>
        <v>0.88209467878110126</v>
      </c>
      <c r="L17">
        <f t="shared" si="0"/>
        <v>0.86807331810083133</v>
      </c>
      <c r="M17">
        <f t="shared" si="0"/>
        <v>0.85390625690821442</v>
      </c>
      <c r="N17">
        <f t="shared" si="0"/>
        <v>0.83960476154769448</v>
      </c>
      <c r="O17">
        <f t="shared" si="0"/>
        <v>0.82518029947195948</v>
      </c>
      <c r="P17">
        <f t="shared" si="0"/>
        <v>0.81064451517843117</v>
      </c>
      <c r="Q17">
        <f t="shared" si="0"/>
        <v>0.79600920565736777</v>
      </c>
    </row>
    <row r="18" spans="1:17">
      <c r="A18">
        <v>1.6</v>
      </c>
      <c r="B18">
        <f t="shared" si="1"/>
        <v>1</v>
      </c>
      <c r="C18">
        <f t="shared" si="0"/>
        <v>0.98836400392731705</v>
      </c>
      <c r="D18">
        <f t="shared" si="0"/>
        <v>0.97650468066521645</v>
      </c>
      <c r="E18">
        <f t="shared" si="0"/>
        <v>0.96442946790442918</v>
      </c>
      <c r="F18">
        <f t="shared" si="0"/>
        <v>0.95214614778307594</v>
      </c>
      <c r="G18">
        <f t="shared" si="0"/>
        <v>0.93966283364189684</v>
      </c>
      <c r="H18">
        <f t="shared" si="0"/>
        <v>0.92698795584362137</v>
      </c>
      <c r="I18">
        <f t="shared" si="0"/>
        <v>0.91413024669606935</v>
      </c>
      <c r="J18">
        <f t="shared" si="0"/>
        <v>0.9010987245222114</v>
      </c>
      <c r="K18">
        <f t="shared" si="0"/>
        <v>0.88790267692391855</v>
      </c>
      <c r="L18">
        <f t="shared" si="0"/>
        <v>0.87455164328939838</v>
      </c>
      <c r="M18">
        <f t="shared" si="0"/>
        <v>0.86105539659741892</v>
      </c>
      <c r="N18">
        <f t="shared" si="0"/>
        <v>0.84742392457427451</v>
      </c>
      <c r="O18">
        <f t="shared" si="0"/>
        <v>0.83366741026207358</v>
      </c>
      <c r="P18">
        <f t="shared" si="0"/>
        <v>0.81979621205930842</v>
      </c>
      <c r="Q18">
        <f t="shared" si="0"/>
        <v>0.80582084329676196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258"/>
  <sheetViews>
    <sheetView workbookViewId="0">
      <selection activeCell="Q18" sqref="Q18"/>
    </sheetView>
  </sheetViews>
  <sheetFormatPr defaultRowHeight="13.5"/>
  <cols>
    <col min="1" max="1" width="13.375" customWidth="1"/>
  </cols>
  <sheetData>
    <row r="1" spans="1:23">
      <c r="A1" t="s">
        <v>1</v>
      </c>
      <c r="B1">
        <v>1</v>
      </c>
      <c r="C1" t="s">
        <v>2</v>
      </c>
      <c r="D1">
        <v>5</v>
      </c>
    </row>
    <row r="2" spans="1:23">
      <c r="A2" t="s">
        <v>0</v>
      </c>
      <c r="B2">
        <v>0</v>
      </c>
      <c r="C2">
        <v>0.1</v>
      </c>
      <c r="D2">
        <v>0.2</v>
      </c>
      <c r="E2">
        <v>0.3</v>
      </c>
      <c r="F2">
        <v>0.4</v>
      </c>
      <c r="G2">
        <v>0.5</v>
      </c>
      <c r="H2">
        <v>0.6</v>
      </c>
      <c r="I2">
        <v>0.7</v>
      </c>
      <c r="J2">
        <v>0.8</v>
      </c>
      <c r="K2">
        <v>0.9</v>
      </c>
      <c r="L2">
        <v>1</v>
      </c>
      <c r="M2">
        <v>1.1000000000000001</v>
      </c>
      <c r="N2">
        <v>1.2</v>
      </c>
      <c r="O2">
        <v>1.3</v>
      </c>
      <c r="P2">
        <v>1.4</v>
      </c>
      <c r="Q2">
        <v>1.5</v>
      </c>
      <c r="S2" t="s">
        <v>3</v>
      </c>
      <c r="T2" t="s">
        <v>4</v>
      </c>
      <c r="U2" t="s">
        <v>5</v>
      </c>
      <c r="V2" t="s">
        <v>6</v>
      </c>
      <c r="W2" t="s">
        <v>6</v>
      </c>
    </row>
    <row r="3" spans="1:23">
      <c r="A3">
        <v>0.1</v>
      </c>
      <c r="B3">
        <f>((B$2^3+((-$B$1^2*$A3^2)-6*$D$1*$A3)*B$2)*EXP(-((B$2^2-2*$B$1*$A3*B$2+$B$1^2*$A3^2)/(4*$D$1*$A3))))/(8*SQRT(PI())*$D$1^(3/2)*$A3^(7/2))</f>
        <v>0</v>
      </c>
      <c r="C3">
        <f>((C$2^3+((-$B$1^2*$A3^2)-6*$D$1*$A3)*C$2)*EXP(-((C$2^2-2*$B$1*$A3*C$2+$B$1^2*$A3^2)/(4*$D$1*$A3))))/(8*SQRT(PI())*$D$1^(3/2)*$A3^(7/2))</f>
        <v>-5.9442399779813409</v>
      </c>
      <c r="D3">
        <f t="shared" ref="D3:Q3" si="0">((D$2^3+((-$B$1^2*$A3^2)-6*$D$1*$A3)*D$2)*EXP(-((D$2^2-2*$B$1*$A3*D$2+$B$1^2*$A3^2)/(4*$D$1*$A3))))/(8*SQRT(PI())*$D$1^(3/2)*$A3^(7/2))</f>
        <v>-11.710100150571837</v>
      </c>
      <c r="E3">
        <f t="shared" si="0"/>
        <v>-17.010357187932311</v>
      </c>
      <c r="F3">
        <f t="shared" si="0"/>
        <v>-21.586550355065636</v>
      </c>
      <c r="G3">
        <f t="shared" si="0"/>
        <v>-25.226504610777621</v>
      </c>
      <c r="H3">
        <f t="shared" si="0"/>
        <v>-27.777954281703202</v>
      </c>
      <c r="I3">
        <f t="shared" si="0"/>
        <v>-29.157152753032435</v>
      </c>
      <c r="J3">
        <f t="shared" si="0"/>
        <v>-29.351869736475528</v>
      </c>
      <c r="K3">
        <f t="shared" si="0"/>
        <v>-28.418741325901429</v>
      </c>
      <c r="L3">
        <f t="shared" si="0"/>
        <v>-26.475482364926076</v>
      </c>
      <c r="M3">
        <f t="shared" si="0"/>
        <v>-23.688933930424103</v>
      </c>
      <c r="N3">
        <f t="shared" si="0"/>
        <v>-20.260252464027179</v>
      </c>
      <c r="O3">
        <f t="shared" si="0"/>
        <v>-16.408721646081474</v>
      </c>
      <c r="P3">
        <f t="shared" si="0"/>
        <v>-12.355675486646902</v>
      </c>
      <c r="Q3">
        <f t="shared" si="0"/>
        <v>-8.309874342783834</v>
      </c>
      <c r="S3">
        <v>0</v>
      </c>
      <c r="T3">
        <v>-0.70187066240942941</v>
      </c>
      <c r="U3">
        <v>-0.14037413248188588</v>
      </c>
      <c r="V3">
        <v>0.76583026845764579</v>
      </c>
      <c r="W3">
        <v>0.31194707268233368</v>
      </c>
    </row>
    <row r="4" spans="1:23">
      <c r="A4">
        <v>0.2</v>
      </c>
      <c r="B4">
        <f t="shared" ref="B4:Q18" si="1">((B$2^3+((-$B$1^2*$A4^2)-6*$D$1*$A4)*B$2)*EXP(-((B$2^2-2*$B$1*$A4*B$2+$B$1^2*$A4^2)/(4*$D$1*$A4))))/(8*SQRT(PI())*$D$1^(3/2)*$A4^(7/2))</f>
        <v>0</v>
      </c>
      <c r="C4">
        <f t="shared" si="1"/>
        <v>-1.04642068241169</v>
      </c>
      <c r="D4">
        <f t="shared" si="1"/>
        <v>-2.0875014591266985</v>
      </c>
      <c r="E4">
        <f t="shared" si="1"/>
        <v>-3.0970534818940942</v>
      </c>
      <c r="F4">
        <f t="shared" si="1"/>
        <v>-4.049674574609897</v>
      </c>
      <c r="G4">
        <f t="shared" si="1"/>
        <v>-4.9216369243564104</v>
      </c>
      <c r="H4">
        <f t="shared" si="1"/>
        <v>-5.691707632300532</v>
      </c>
      <c r="I4">
        <f t="shared" si="1"/>
        <v>-6.3418657834080339</v>
      </c>
      <c r="J4">
        <f t="shared" si="1"/>
        <v>-6.8578850489661045</v>
      </c>
      <c r="K4">
        <f t="shared" si="1"/>
        <v>-7.2297578215472917</v>
      </c>
      <c r="L4">
        <f t="shared" si="1"/>
        <v>-7.4519450660046367</v>
      </c>
      <c r="M4">
        <f t="shared" si="1"/>
        <v>-7.5234449499825793</v>
      </c>
      <c r="N4">
        <f t="shared" si="1"/>
        <v>-7.4476823564778973</v>
      </c>
      <c r="O4">
        <f t="shared" si="1"/>
        <v>-7.2322300454920034</v>
      </c>
      <c r="P4">
        <f t="shared" si="1"/>
        <v>-6.8883800275000144</v>
      </c>
      <c r="Q4">
        <f t="shared" si="1"/>
        <v>-6.4305902158353572</v>
      </c>
      <c r="S4">
        <v>0</v>
      </c>
      <c r="T4">
        <v>-0.46982209499629707</v>
      </c>
      <c r="U4">
        <v>-9.3964418999259378E-2</v>
      </c>
      <c r="V4">
        <v>0.26049501789738239</v>
      </c>
      <c r="W4">
        <v>0.10795658391892338</v>
      </c>
    </row>
    <row r="5" spans="1:23">
      <c r="A5">
        <v>0.3</v>
      </c>
      <c r="B5">
        <f t="shared" si="1"/>
        <v>0</v>
      </c>
      <c r="C5">
        <f t="shared" si="1"/>
        <v>-0.37709466546057241</v>
      </c>
      <c r="D5">
        <f t="shared" si="1"/>
        <v>-0.75541476655969231</v>
      </c>
      <c r="E5">
        <f t="shared" si="1"/>
        <v>-1.1286142216063635</v>
      </c>
      <c r="F5">
        <f t="shared" si="1"/>
        <v>-1.4903899002023242</v>
      </c>
      <c r="G5">
        <f t="shared" si="1"/>
        <v>-1.8346291027463804</v>
      </c>
      <c r="H5">
        <f t="shared" si="1"/>
        <v>-2.1555526074790476</v>
      </c>
      <c r="I5">
        <f t="shared" si="1"/>
        <v>-2.4478489994929471</v>
      </c>
      <c r="J5">
        <f t="shared" si="1"/>
        <v>-2.7067962850924605</v>
      </c>
      <c r="K5">
        <f t="shared" si="1"/>
        <v>-2.9283672287966334</v>
      </c>
      <c r="L5">
        <f t="shared" si="1"/>
        <v>-3.1093154113678656</v>
      </c>
      <c r="M5">
        <f t="shared" si="1"/>
        <v>-3.2472396723882597</v>
      </c>
      <c r="N5">
        <f t="shared" si="1"/>
        <v>-3.3406253427230812</v>
      </c>
      <c r="O5">
        <f t="shared" si="1"/>
        <v>-3.3888614603956477</v>
      </c>
      <c r="P5">
        <f t="shared" si="1"/>
        <v>-3.3922339661354584</v>
      </c>
      <c r="Q5">
        <f t="shared" si="1"/>
        <v>-3.3518956603189549</v>
      </c>
      <c r="S5">
        <v>0</v>
      </c>
      <c r="T5">
        <v>-0.36755152592936496</v>
      </c>
      <c r="U5">
        <v>-7.3510305185872996E-2</v>
      </c>
      <c r="V5">
        <v>0.1365647886104778</v>
      </c>
      <c r="W5">
        <v>5.7566327651626045E-2</v>
      </c>
    </row>
    <row r="6" spans="1:23">
      <c r="A6">
        <v>0.4</v>
      </c>
      <c r="B6">
        <f t="shared" si="1"/>
        <v>0</v>
      </c>
      <c r="C6">
        <f t="shared" si="1"/>
        <v>-0.18229259705626272</v>
      </c>
      <c r="D6">
        <f t="shared" si="1"/>
        <v>-0.36594062970537022</v>
      </c>
      <c r="E6">
        <f t="shared" si="1"/>
        <v>-0.5486385926500168</v>
      </c>
      <c r="F6">
        <f t="shared" si="1"/>
        <v>-0.72806966173261456</v>
      </c>
      <c r="G6">
        <f t="shared" si="1"/>
        <v>-0.9019462821012334</v>
      </c>
      <c r="H6">
        <f t="shared" si="1"/>
        <v>-1.0680504480553348</v>
      </c>
      <c r="I6">
        <f t="shared" si="1"/>
        <v>-1.2242727672121787</v>
      </c>
      <c r="J6">
        <f t="shared" si="1"/>
        <v>-1.3686494289140954</v>
      </c>
      <c r="K6">
        <f t="shared" si="1"/>
        <v>-1.4993962482429235</v>
      </c>
      <c r="L6">
        <f t="shared" si="1"/>
        <v>-1.6149390310906566</v>
      </c>
      <c r="M6">
        <f t="shared" si="1"/>
        <v>-1.7139396001952167</v>
      </c>
      <c r="N6">
        <f t="shared" si="1"/>
        <v>-1.7953169339787012</v>
      </c>
      <c r="O6">
        <f t="shared" si="1"/>
        <v>-1.858262995969314</v>
      </c>
      <c r="P6">
        <f t="shared" si="1"/>
        <v>-1.9022529686733556</v>
      </c>
      <c r="Q6">
        <f t="shared" si="1"/>
        <v>-1.92704974783353</v>
      </c>
      <c r="S6">
        <v>0</v>
      </c>
      <c r="T6">
        <v>-0.30689463586327653</v>
      </c>
      <c r="U6">
        <v>-6.13789271726553E-2</v>
      </c>
      <c r="V6">
        <v>8.5484888059332881E-2</v>
      </c>
      <c r="W6">
        <v>3.6649112310639373E-2</v>
      </c>
    </row>
    <row r="7" spans="1:23">
      <c r="A7">
        <v>0.5</v>
      </c>
      <c r="B7">
        <f t="shared" si="1"/>
        <v>0</v>
      </c>
      <c r="C7">
        <f t="shared" si="1"/>
        <v>-0.10352227960804745</v>
      </c>
      <c r="D7">
        <f t="shared" si="1"/>
        <v>-0.20807460220953378</v>
      </c>
      <c r="E7">
        <f t="shared" si="1"/>
        <v>-0.3126101696159293</v>
      </c>
      <c r="F7">
        <f t="shared" si="1"/>
        <v>-0.41606965591459816</v>
      </c>
      <c r="G7">
        <f t="shared" si="1"/>
        <v>-0.51739599368430378</v>
      </c>
      <c r="H7">
        <f t="shared" si="1"/>
        <v>-0.61554924762965058</v>
      </c>
      <c r="I7">
        <f t="shared" si="1"/>
        <v>-0.70952130811873715</v>
      </c>
      <c r="J7">
        <f t="shared" si="1"/>
        <v>-0.79835013927301735</v>
      </c>
      <c r="K7">
        <f t="shared" si="1"/>
        <v>-0.88113332426225444</v>
      </c>
      <c r="L7">
        <f t="shared" si="1"/>
        <v>-0.9570406641249225</v>
      </c>
      <c r="M7">
        <f t="shared" si="1"/>
        <v>-1.0253256054428488</v>
      </c>
      <c r="N7">
        <f t="shared" si="1"/>
        <v>-1.0853352960876297</v>
      </c>
      <c r="O7">
        <f t="shared" si="1"/>
        <v>-1.1365190964397114</v>
      </c>
      <c r="P7">
        <f t="shared" si="1"/>
        <v>-1.1784354052650365</v>
      </c>
      <c r="Q7">
        <f t="shared" si="1"/>
        <v>-1.2107566940365218</v>
      </c>
      <c r="S7">
        <v>0</v>
      </c>
      <c r="T7">
        <v>-0.26570845957870504</v>
      </c>
      <c r="U7">
        <v>-5.3141691915741009E-2</v>
      </c>
      <c r="V7">
        <v>5.8974619007755226E-2</v>
      </c>
      <c r="W7">
        <v>2.5715515279731736E-2</v>
      </c>
    </row>
    <row r="8" spans="1:23">
      <c r="A8">
        <v>0.6</v>
      </c>
      <c r="B8">
        <f t="shared" si="1"/>
        <v>0</v>
      </c>
      <c r="C8">
        <f t="shared" si="1"/>
        <v>-6.509613511310243E-2</v>
      </c>
      <c r="D8">
        <f t="shared" si="1"/>
        <v>-0.13094917426207039</v>
      </c>
      <c r="E8">
        <f t="shared" si="1"/>
        <v>-0.19701162841699227</v>
      </c>
      <c r="F8">
        <f t="shared" si="1"/>
        <v>-0.2627268538402906</v>
      </c>
      <c r="G8">
        <f t="shared" si="1"/>
        <v>-0.32753549254299424</v>
      </c>
      <c r="H8">
        <f t="shared" si="1"/>
        <v>-0.39088200952233615</v>
      </c>
      <c r="I8">
        <f t="shared" si="1"/>
        <v>-0.45222122920973495</v>
      </c>
      <c r="J8">
        <f t="shared" si="1"/>
        <v>-0.51102477291589699</v>
      </c>
      <c r="K8">
        <f t="shared" si="1"/>
        <v>-0.56678730021503942</v>
      </c>
      <c r="L8">
        <f t="shared" si="1"/>
        <v>-0.61903246014796909</v>
      </c>
      <c r="M8">
        <f t="shared" si="1"/>
        <v>-0.66731846279018725</v>
      </c>
      <c r="N8">
        <f t="shared" si="1"/>
        <v>-0.71124318803515596</v>
      </c>
      <c r="O8">
        <f t="shared" si="1"/>
        <v>-0.75044875625781182</v>
      </c>
      <c r="P8">
        <f t="shared" si="1"/>
        <v>-0.7846254946904192</v>
      </c>
      <c r="Q8">
        <f t="shared" si="1"/>
        <v>-0.81351524367443984</v>
      </c>
      <c r="S8">
        <v>0</v>
      </c>
      <c r="T8">
        <v>-0.23545848952044629</v>
      </c>
      <c r="U8">
        <v>-4.7091697904089264E-2</v>
      </c>
      <c r="V8">
        <v>4.3266341014378873E-2</v>
      </c>
      <c r="W8">
        <v>1.9190204321915125E-2</v>
      </c>
    </row>
    <row r="9" spans="1:23">
      <c r="A9">
        <v>0.7</v>
      </c>
      <c r="B9">
        <f t="shared" si="1"/>
        <v>0</v>
      </c>
      <c r="C9">
        <f t="shared" si="1"/>
        <v>-4.3916044731787056E-2</v>
      </c>
      <c r="D9">
        <f t="shared" si="1"/>
        <v>-8.8395368337073635E-2</v>
      </c>
      <c r="E9">
        <f t="shared" si="1"/>
        <v>-0.13312222171428009</v>
      </c>
      <c r="F9">
        <f t="shared" si="1"/>
        <v>-0.17777449020039635</v>
      </c>
      <c r="G9">
        <f t="shared" si="1"/>
        <v>-0.22202686874142252</v>
      </c>
      <c r="H9">
        <f t="shared" si="1"/>
        <v>-0.26555410584794298</v>
      </c>
      <c r="I9">
        <f t="shared" si="1"/>
        <v>-0.30803427506489789</v>
      </c>
      <c r="J9">
        <f t="shared" si="1"/>
        <v>-0.34915203197344091</v>
      </c>
      <c r="K9">
        <f t="shared" si="1"/>
        <v>-0.38860181468760335</v>
      </c>
      <c r="L9">
        <f t="shared" si="1"/>
        <v>-0.42609094641397205</v>
      </c>
      <c r="M9">
        <f t="shared" si="1"/>
        <v>-0.46134259990110454</v>
      </c>
      <c r="N9">
        <f t="shared" si="1"/>
        <v>-0.49409858549721375</v>
      </c>
      <c r="O9">
        <f t="shared" si="1"/>
        <v>-0.524121927028245</v>
      </c>
      <c r="P9">
        <f t="shared" si="1"/>
        <v>-0.55119919276114815</v>
      </c>
      <c r="Q9">
        <f t="shared" si="1"/>
        <v>-0.57514255227598132</v>
      </c>
      <c r="S9">
        <v>0</v>
      </c>
      <c r="T9">
        <v>-0.21206589552412536</v>
      </c>
      <c r="U9">
        <v>-4.2413179104825068E-2</v>
      </c>
      <c r="V9">
        <v>3.3117303255348042E-2</v>
      </c>
      <c r="W9">
        <v>1.4943448466332224E-2</v>
      </c>
    </row>
    <row r="10" spans="1:23">
      <c r="A10">
        <v>0.8</v>
      </c>
      <c r="B10">
        <f t="shared" si="1"/>
        <v>0</v>
      </c>
      <c r="C10">
        <f t="shared" si="1"/>
        <v>-3.1192611205952635E-2</v>
      </c>
      <c r="D10">
        <f t="shared" si="1"/>
        <v>-6.2813360921624067E-2</v>
      </c>
      <c r="E10">
        <f t="shared" si="1"/>
        <v>-9.4666626795096465E-2</v>
      </c>
      <c r="F10">
        <f t="shared" si="1"/>
        <v>-0.12655233045655928</v>
      </c>
      <c r="G10">
        <f t="shared" si="1"/>
        <v>-0.15826765187737898</v>
      </c>
      <c r="H10">
        <f t="shared" si="1"/>
        <v>-0.18960878961766439</v>
      </c>
      <c r="I10">
        <f t="shared" si="1"/>
        <v>-0.22037274749342955</v>
      </c>
      <c r="J10">
        <f t="shared" si="1"/>
        <v>-0.2503591276993169</v>
      </c>
      <c r="K10">
        <f t="shared" si="1"/>
        <v>-0.27937191019921004</v>
      </c>
      <c r="L10">
        <f t="shared" si="1"/>
        <v>-0.30722119825007072</v>
      </c>
      <c r="M10">
        <f t="shared" si="1"/>
        <v>-0.3337249102546378</v>
      </c>
      <c r="N10">
        <f t="shared" si="1"/>
        <v>-0.35871039874238525</v>
      </c>
      <c r="O10">
        <f t="shared" si="1"/>
        <v>-0.38201597814706523</v>
      </c>
      <c r="P10">
        <f t="shared" si="1"/>
        <v>-0.40349234417063828</v>
      </c>
      <c r="Q10">
        <f t="shared" si="1"/>
        <v>-0.42300386888072394</v>
      </c>
      <c r="S10">
        <v>0</v>
      </c>
      <c r="T10">
        <v>-0.19330395569726366</v>
      </c>
      <c r="U10">
        <v>-3.8660791139452734E-2</v>
      </c>
      <c r="V10">
        <v>2.6147053869136423E-2</v>
      </c>
      <c r="W10">
        <v>1.2005253193232684E-2</v>
      </c>
    </row>
    <row r="11" spans="1:23">
      <c r="A11">
        <v>0.9</v>
      </c>
      <c r="B11">
        <f t="shared" si="1"/>
        <v>0</v>
      </c>
      <c r="C11">
        <f t="shared" si="1"/>
        <v>-2.304407859378978E-2</v>
      </c>
      <c r="D11">
        <f t="shared" si="1"/>
        <v>-4.6420574940195483E-2</v>
      </c>
      <c r="E11">
        <f t="shared" si="1"/>
        <v>-7.0001469909186556E-2</v>
      </c>
      <c r="F11">
        <f t="shared" si="1"/>
        <v>-9.36555629641838E-2</v>
      </c>
      <c r="G11">
        <f t="shared" si="1"/>
        <v>-0.1172494644784878</v>
      </c>
      <c r="H11">
        <f t="shared" si="1"/>
        <v>-0.14064861867395359</v>
      </c>
      <c r="I11">
        <f t="shared" si="1"/>
        <v>-0.16371834719679929</v>
      </c>
      <c r="J11">
        <f t="shared" si="1"/>
        <v>-0.18632490302550828</v>
      </c>
      <c r="K11">
        <f t="shared" si="1"/>
        <v>-0.20833652420963714</v>
      </c>
      <c r="L11">
        <f t="shared" si="1"/>
        <v>-0.22962447686949872</v>
      </c>
      <c r="M11">
        <f t="shared" si="1"/>
        <v>-0.25006407694684002</v>
      </c>
      <c r="N11">
        <f t="shared" si="1"/>
        <v>-0.26953568038562531</v>
      </c>
      <c r="O11">
        <f t="shared" si="1"/>
        <v>-0.28792563173784402</v>
      </c>
      <c r="P11">
        <f t="shared" si="1"/>
        <v>-0.30512716162802939</v>
      </c>
      <c r="Q11">
        <f t="shared" si="1"/>
        <v>-0.32104122406626945</v>
      </c>
      <c r="S11">
        <v>0</v>
      </c>
      <c r="T11">
        <v>-0.17784082807813995</v>
      </c>
      <c r="U11">
        <v>-3.5568165615627992E-2</v>
      </c>
      <c r="V11">
        <v>2.1137316170246556E-2</v>
      </c>
      <c r="W11">
        <v>9.8776530927237455E-3</v>
      </c>
    </row>
    <row r="12" spans="1:23">
      <c r="A12">
        <v>1</v>
      </c>
      <c r="B12">
        <f t="shared" si="1"/>
        <v>0</v>
      </c>
      <c r="C12">
        <f t="shared" si="1"/>
        <v>-1.7560600342042043E-2</v>
      </c>
      <c r="D12">
        <f t="shared" si="1"/>
        <v>-3.5384348188901182E-2</v>
      </c>
      <c r="E12">
        <f t="shared" si="1"/>
        <v>-5.3383765208473669E-2</v>
      </c>
      <c r="F12">
        <f t="shared" si="1"/>
        <v>-7.1469051244702958E-2</v>
      </c>
      <c r="G12">
        <f t="shared" si="1"/>
        <v>-8.9548691138091802E-2</v>
      </c>
      <c r="H12">
        <f t="shared" si="1"/>
        <v>-0.10753008233042653</v>
      </c>
      <c r="I12">
        <f t="shared" si="1"/>
        <v>-0.12532017778262564</v>
      </c>
      <c r="J12">
        <f t="shared" si="1"/>
        <v>-0.14282613852911816</v>
      </c>
      <c r="K12">
        <f t="shared" si="1"/>
        <v>-0.15995599004757838</v>
      </c>
      <c r="L12">
        <f t="shared" si="1"/>
        <v>-0.17661927654141127</v>
      </c>
      <c r="M12">
        <f t="shared" si="1"/>
        <v>-0.19272770721549892</v>
      </c>
      <c r="N12">
        <f t="shared" si="1"/>
        <v>-0.20819578867396832</v>
      </c>
      <c r="O12">
        <f t="shared" si="1"/>
        <v>-0.22294143768184388</v>
      </c>
      <c r="P12">
        <f t="shared" si="1"/>
        <v>-0.23688656870930092</v>
      </c>
      <c r="Q12">
        <f t="shared" si="1"/>
        <v>-0.24995765091589106</v>
      </c>
      <c r="S12">
        <v>0</v>
      </c>
      <c r="T12">
        <v>-0.16482482628144229</v>
      </c>
      <c r="U12">
        <v>-3.2964965256288455E-2</v>
      </c>
      <c r="V12">
        <v>1.7407785917345028E-2</v>
      </c>
      <c r="W12">
        <v>8.2817129771895516E-3</v>
      </c>
    </row>
    <row r="13" spans="1:23">
      <c r="A13">
        <v>1.1000000000000001</v>
      </c>
      <c r="B13">
        <f t="shared" si="1"/>
        <v>0</v>
      </c>
      <c r="C13">
        <f t="shared" si="1"/>
        <v>-1.3722047132442131E-2</v>
      </c>
      <c r="D13">
        <f t="shared" si="1"/>
        <v>-2.7656006219237968E-2</v>
      </c>
      <c r="E13">
        <f t="shared" si="1"/>
        <v>-4.1739973379432284E-2</v>
      </c>
      <c r="F13">
        <f t="shared" si="1"/>
        <v>-5.5910314189556241E-2</v>
      </c>
      <c r="G13">
        <f t="shared" si="1"/>
        <v>-7.0102051645466373E-2</v>
      </c>
      <c r="H13">
        <f t="shared" si="1"/>
        <v>-8.4249268532770122E-2</v>
      </c>
      <c r="I13">
        <f t="shared" si="1"/>
        <v>-9.8285521043209464E-2</v>
      </c>
      <c r="J13">
        <f t="shared" si="1"/>
        <v>-0.1121442603405446</v>
      </c>
      <c r="K13">
        <f t="shared" si="1"/>
        <v>-0.12575925867756121</v>
      </c>
      <c r="L13">
        <f t="shared" si="1"/>
        <v>-0.13906503659720154</v>
      </c>
      <c r="M13">
        <f t="shared" si="1"/>
        <v>-0.15199728771648152</v>
      </c>
      <c r="N13">
        <f t="shared" si="1"/>
        <v>-0.16449329759240269</v>
      </c>
      <c r="O13">
        <f t="shared" si="1"/>
        <v>-0.1764923532046829</v>
      </c>
      <c r="P13">
        <f t="shared" si="1"/>
        <v>-0.18793613966058678</v>
      </c>
      <c r="Q13">
        <f t="shared" si="1"/>
        <v>-0.19876912083179429</v>
      </c>
      <c r="S13">
        <v>0</v>
      </c>
      <c r="T13">
        <v>-0.15368269848882093</v>
      </c>
      <c r="U13">
        <v>-3.073653969776419E-2</v>
      </c>
      <c r="V13">
        <v>1.4552429521290652E-2</v>
      </c>
      <c r="W13">
        <v>7.0504333964268306E-3</v>
      </c>
    </row>
    <row r="14" spans="1:23">
      <c r="A14">
        <v>1.2</v>
      </c>
      <c r="B14">
        <f t="shared" si="1"/>
        <v>0</v>
      </c>
      <c r="C14">
        <f t="shared" si="1"/>
        <v>-1.0947074673881363E-2</v>
      </c>
      <c r="D14">
        <f t="shared" si="1"/>
        <v>-2.2067385826356492E-2</v>
      </c>
      <c r="E14">
        <f t="shared" si="1"/>
        <v>-3.3315843117902491E-2</v>
      </c>
      <c r="F14">
        <f t="shared" si="1"/>
        <v>-4.4646041303951771E-2</v>
      </c>
      <c r="G14">
        <f t="shared" si="1"/>
        <v>-5.6010517555493348E-2</v>
      </c>
      <c r="H14">
        <f t="shared" si="1"/>
        <v>-6.7361018983720197E-2</v>
      </c>
      <c r="I14">
        <f t="shared" si="1"/>
        <v>-7.8648778457860544E-2</v>
      </c>
      <c r="J14">
        <f t="shared" si="1"/>
        <v>-8.9824796716450911E-2</v>
      </c>
      <c r="K14">
        <f t="shared" si="1"/>
        <v>-0.10084012870102488</v>
      </c>
      <c r="L14">
        <f t="shared" si="1"/>
        <v>-0.11164617198837049</v>
      </c>
      <c r="M14">
        <f t="shared" si="1"/>
        <v>-0.12219495516382634</v>
      </c>
      <c r="N14">
        <f t="shared" si="1"/>
        <v>-0.13243942396401198</v>
      </c>
      <c r="O14">
        <f t="shared" si="1"/>
        <v>-0.14233372302318284</v>
      </c>
      <c r="P14">
        <f t="shared" si="1"/>
        <v>-0.15183347108311171</v>
      </c>
      <c r="Q14">
        <f t="shared" si="1"/>
        <v>-0.16089602757185745</v>
      </c>
      <c r="S14">
        <v>0</v>
      </c>
      <c r="T14">
        <v>-0.14401264206809231</v>
      </c>
      <c r="U14">
        <v>-2.8802528413618453E-2</v>
      </c>
      <c r="V14">
        <v>1.2315835235774031E-2</v>
      </c>
      <c r="W14">
        <v>6.0784352308543505E-3</v>
      </c>
    </row>
    <row r="15" spans="1:23">
      <c r="A15">
        <v>1.3</v>
      </c>
      <c r="B15">
        <f t="shared" si="1"/>
        <v>0</v>
      </c>
      <c r="C15">
        <f t="shared" si="1"/>
        <v>-8.8865652906299532E-3</v>
      </c>
      <c r="D15">
        <f t="shared" si="1"/>
        <v>-1.7916630139443283E-2</v>
      </c>
      <c r="E15">
        <f t="shared" si="1"/>
        <v>-2.7056544273727806E-2</v>
      </c>
      <c r="F15">
        <f t="shared" si="1"/>
        <v>-3.6271640889420774E-2</v>
      </c>
      <c r="G15">
        <f t="shared" si="1"/>
        <v>-4.552641266988075E-2</v>
      </c>
      <c r="H15">
        <f t="shared" si="1"/>
        <v>-5.4784695177926598E-2</v>
      </c>
      <c r="I15">
        <f t="shared" si="1"/>
        <v>-6.4009856422937994E-2</v>
      </c>
      <c r="J15">
        <f t="shared" si="1"/>
        <v>-7.3164991344543157E-2</v>
      </c>
      <c r="K15">
        <f t="shared" si="1"/>
        <v>-8.2213119904279972E-2</v>
      </c>
      <c r="L15">
        <f t="shared" si="1"/>
        <v>-9.111738743716094E-2</v>
      </c>
      <c r="M15">
        <f t="shared" si="1"/>
        <v>-9.9841265886754627E-2</v>
      </c>
      <c r="N15">
        <f t="shared" si="1"/>
        <v>-0.10834875453056038</v>
      </c>
      <c r="O15">
        <f t="shared" si="1"/>
        <v>-0.1166045787973326</v>
      </c>
      <c r="P15">
        <f t="shared" si="1"/>
        <v>-0.12457438578471877</v>
      </c>
      <c r="Q15">
        <f t="shared" si="1"/>
        <v>-0.13222493510411548</v>
      </c>
      <c r="S15">
        <v>0</v>
      </c>
      <c r="T15">
        <v>-0.13552360477078959</v>
      </c>
      <c r="U15">
        <v>-2.7104720954157915E-2</v>
      </c>
      <c r="V15">
        <v>1.053034878315484E-2</v>
      </c>
      <c r="W15">
        <v>5.2963283514282531E-3</v>
      </c>
    </row>
    <row r="16" spans="1:23">
      <c r="A16">
        <v>1.4</v>
      </c>
      <c r="B16">
        <f t="shared" si="1"/>
        <v>0</v>
      </c>
      <c r="C16">
        <f t="shared" si="1"/>
        <v>-7.3215791435901128E-3</v>
      </c>
      <c r="D16">
        <f t="shared" si="1"/>
        <v>-1.4763413624478467E-2</v>
      </c>
      <c r="E16">
        <f t="shared" si="1"/>
        <v>-2.2299866228458969E-2</v>
      </c>
      <c r="F16">
        <f t="shared" si="1"/>
        <v>-2.9904501624196018E-2</v>
      </c>
      <c r="G16">
        <f t="shared" si="1"/>
        <v>-3.7550209972391023E-2</v>
      </c>
      <c r="H16">
        <f t="shared" si="1"/>
        <v>-4.5209335962170291E-2</v>
      </c>
      <c r="I16">
        <f t="shared" si="1"/>
        <v>-5.285381249925715E-2</v>
      </c>
      <c r="J16">
        <f t="shared" si="1"/>
        <v>-6.0455298228789096E-2</v>
      </c>
      <c r="K16">
        <f t="shared" si="1"/>
        <v>-6.7985318039986878E-2</v>
      </c>
      <c r="L16">
        <f t="shared" si="1"/>
        <v>-7.5415405670638272E-2</v>
      </c>
      <c r="M16">
        <f t="shared" si="1"/>
        <v>-8.2717247506833416E-2</v>
      </c>
      <c r="N16">
        <f t="shared" si="1"/>
        <v>-8.9862826657824996E-2</v>
      </c>
      <c r="O16">
        <f t="shared" si="1"/>
        <v>-9.6824566377470639E-2</v>
      </c>
      <c r="P16">
        <f t="shared" si="1"/>
        <v>-0.10357547190256268</v>
      </c>
      <c r="Q16">
        <f t="shared" si="1"/>
        <v>-0.11008926978451357</v>
      </c>
      <c r="S16">
        <v>0</v>
      </c>
      <c r="T16">
        <v>-0.12799893090933423</v>
      </c>
      <c r="U16">
        <v>-2.5599786181866837E-2</v>
      </c>
      <c r="V16">
        <v>9.081973630654808E-3</v>
      </c>
      <c r="W16">
        <v>4.6567808995365972E-3</v>
      </c>
    </row>
    <row r="17" spans="1:23">
      <c r="A17">
        <v>1.5</v>
      </c>
      <c r="B17">
        <f t="shared" si="1"/>
        <v>0</v>
      </c>
      <c r="C17">
        <f t="shared" si="1"/>
        <v>-6.1097195435548873E-3</v>
      </c>
      <c r="D17">
        <f t="shared" si="1"/>
        <v>-1.2321255821007205E-2</v>
      </c>
      <c r="E17">
        <f t="shared" si="1"/>
        <v>-1.8614725407329034E-2</v>
      </c>
      <c r="F17">
        <f t="shared" si="1"/>
        <v>-2.4969609516795412E-2</v>
      </c>
      <c r="G17">
        <f t="shared" si="1"/>
        <v>-3.1364842793878314E-2</v>
      </c>
      <c r="H17">
        <f t="shared" si="1"/>
        <v>-3.7778906166699495E-2</v>
      </c>
      <c r="I17">
        <f t="shared" si="1"/>
        <v>-4.4189923247386818E-2</v>
      </c>
      <c r="J17">
        <f t="shared" si="1"/>
        <v>-5.0575759734270975E-2</v>
      </c>
      <c r="K17">
        <f t="shared" si="1"/>
        <v>-5.6914125245178145E-2</v>
      </c>
      <c r="L17">
        <f t="shared" si="1"/>
        <v>-6.3182676989360739E-2</v>
      </c>
      <c r="M17">
        <f t="shared" si="1"/>
        <v>-6.935912466807323E-2</v>
      </c>
      <c r="N17">
        <f t="shared" si="1"/>
        <v>-7.5421335980616996E-2</v>
      </c>
      <c r="O17">
        <f t="shared" si="1"/>
        <v>-8.1347442103987339E-2</v>
      </c>
      <c r="P17">
        <f t="shared" si="1"/>
        <v>-8.7115942510154684E-2</v>
      </c>
      <c r="Q17">
        <f t="shared" si="1"/>
        <v>-9.2705808485565533E-2</v>
      </c>
      <c r="S17">
        <v>0</v>
      </c>
      <c r="T17">
        <v>-0.12127359743034546</v>
      </c>
      <c r="U17">
        <v>-2.4254719486069082E-2</v>
      </c>
      <c r="V17">
        <v>7.8908649868314664E-3</v>
      </c>
      <c r="W17">
        <v>4.1265347741753526E-3</v>
      </c>
    </row>
    <row r="18" spans="1:23">
      <c r="A18">
        <v>1.6</v>
      </c>
      <c r="B18">
        <f t="shared" si="1"/>
        <v>0</v>
      </c>
      <c r="C18">
        <f t="shared" si="1"/>
        <v>-5.1554494978343504E-3</v>
      </c>
      <c r="D18">
        <f t="shared" si="1"/>
        <v>-1.03978953552423E-2</v>
      </c>
      <c r="E18">
        <f t="shared" si="1"/>
        <v>-1.5711675456114543E-2</v>
      </c>
      <c r="F18">
        <f t="shared" si="1"/>
        <v>-2.108061558111881E-2</v>
      </c>
      <c r="G18">
        <f t="shared" si="1"/>
        <v>-2.6488094455970456E-2</v>
      </c>
      <c r="H18">
        <f t="shared" si="1"/>
        <v>-3.1917111887461748E-2</v>
      </c>
      <c r="I18">
        <f t="shared" si="1"/>
        <v>-3.7350359636158202E-2</v>
      </c>
      <c r="J18">
        <f t="shared" si="1"/>
        <v>-4.2770294653565487E-2</v>
      </c>
      <c r="K18">
        <f t="shared" si="1"/>
        <v>-4.8159214292824964E-2</v>
      </c>
      <c r="L18">
        <f t="shared" si="1"/>
        <v>-5.3499333085774495E-2</v>
      </c>
      <c r="M18">
        <f t="shared" si="1"/>
        <v>-5.8772860665658261E-2</v>
      </c>
      <c r="N18">
        <f t="shared" si="1"/>
        <v>-6.3962080404010691E-2</v>
      </c>
      <c r="O18">
        <f t="shared" si="1"/>
        <v>-6.9049428322376705E-2</v>
      </c>
      <c r="P18">
        <f t="shared" si="1"/>
        <v>-7.4017571834644996E-2</v>
      </c>
      <c r="Q18">
        <f t="shared" si="1"/>
        <v>-7.8849487873917531E-2</v>
      </c>
      <c r="S18">
        <v>0</v>
      </c>
      <c r="T18">
        <v>-0.11521941847372651</v>
      </c>
      <c r="U18">
        <v>-2.3043883694745301E-2</v>
      </c>
      <c r="V18">
        <v>6.8996651455297923E-3</v>
      </c>
      <c r="W18">
        <v>3.68162140600173E-3</v>
      </c>
    </row>
    <row r="19" spans="1:23">
      <c r="S19">
        <v>0.39894228040143265</v>
      </c>
      <c r="T19">
        <v>-0.71203659915617068</v>
      </c>
      <c r="U19">
        <v>-6.2618863750947593E-2</v>
      </c>
      <c r="V19">
        <v>0.78536078805267495</v>
      </c>
      <c r="W19">
        <v>7.7283701530248577E-2</v>
      </c>
    </row>
    <row r="20" spans="1:23">
      <c r="S20">
        <v>0.14069521780325236</v>
      </c>
      <c r="T20">
        <v>-0.47789970872726328</v>
      </c>
      <c r="U20">
        <v>-6.7440898184802187E-2</v>
      </c>
      <c r="V20">
        <v>0.26930920814757681</v>
      </c>
      <c r="W20">
        <v>6.8001711018742278E-2</v>
      </c>
    </row>
    <row r="21" spans="1:23">
      <c r="S21">
        <v>7.6266336834722476E-2</v>
      </c>
      <c r="T21">
        <v>-0.37421070845181359</v>
      </c>
      <c r="U21">
        <v>-5.9588874323418244E-2</v>
      </c>
      <c r="V21">
        <v>0.14163178329589091</v>
      </c>
      <c r="W21">
        <v>4.3647416325531325E-2</v>
      </c>
    </row>
    <row r="22" spans="1:23">
      <c r="S22">
        <v>4.9309916363486105E-2</v>
      </c>
      <c r="T22">
        <v>-0.31259926205138056</v>
      </c>
      <c r="U22">
        <v>-5.2657869137578889E-2</v>
      </c>
      <c r="V22">
        <v>8.8827907644908721E-2</v>
      </c>
      <c r="W22">
        <v>3.0148534275762206E-2</v>
      </c>
    </row>
    <row r="23" spans="1:23">
      <c r="S23">
        <v>3.5116105701508624E-2</v>
      </c>
      <c r="T23">
        <v>-0.27072361553145291</v>
      </c>
      <c r="U23">
        <v>-4.7121501965988868E-2</v>
      </c>
      <c r="V23">
        <v>6.1369768701043603E-2</v>
      </c>
      <c r="W23">
        <v>2.2151411951929063E-2</v>
      </c>
    </row>
    <row r="24" spans="1:23">
      <c r="S24">
        <v>2.6584921883966946E-2</v>
      </c>
      <c r="T24">
        <v>-0.23994821760682372</v>
      </c>
      <c r="U24">
        <v>-4.267265914457135E-2</v>
      </c>
      <c r="V24">
        <v>4.5078393970419066E-2</v>
      </c>
      <c r="W24">
        <v>1.7028078861890519E-2</v>
      </c>
    </row>
    <row r="25" spans="1:23">
      <c r="S25">
        <v>2.099401162787868E-2</v>
      </c>
      <c r="T25">
        <v>-0.21613919377054691</v>
      </c>
      <c r="U25">
        <v>-3.9029036428533656E-2</v>
      </c>
      <c r="V25">
        <v>3.4542113312242828E-2</v>
      </c>
      <c r="W25">
        <v>1.3537388946255485E-2</v>
      </c>
    </row>
    <row r="26" spans="1:23">
      <c r="S26">
        <v>1.7099161603263115E-2</v>
      </c>
      <c r="T26">
        <v>-0.19703733792279876</v>
      </c>
      <c r="U26">
        <v>-3.5987635263907129E-2</v>
      </c>
      <c r="V26">
        <v>2.7300031481801906E-2</v>
      </c>
      <c r="W26">
        <v>1.1043416908625894E-2</v>
      </c>
    </row>
    <row r="27" spans="1:23">
      <c r="S27">
        <v>1.4259513873926443E-2</v>
      </c>
      <c r="T27">
        <v>-0.18129033966773281</v>
      </c>
      <c r="U27">
        <v>-3.3406165158761263E-2</v>
      </c>
      <c r="V27">
        <v>2.2091297184970427E-2</v>
      </c>
      <c r="W27">
        <v>9.1939642810913297E-3</v>
      </c>
    </row>
    <row r="28" spans="1:23">
      <c r="S28">
        <v>1.2114936420863772E-2</v>
      </c>
      <c r="T28">
        <v>-0.16803292400081873</v>
      </c>
      <c r="U28">
        <v>-3.118359751599099E-2</v>
      </c>
      <c r="V28">
        <v>1.8211222194104894E-2</v>
      </c>
      <c r="W28">
        <v>7.780949018916461E-3</v>
      </c>
    </row>
    <row r="29" spans="1:23">
      <c r="S29">
        <v>1.044913595359029E-2</v>
      </c>
      <c r="T29">
        <v>-0.15668243053785361</v>
      </c>
      <c r="U29">
        <v>-2.9246658916852665E-2</v>
      </c>
      <c r="V29">
        <v>1.5238924413875332E-2</v>
      </c>
      <c r="W29">
        <v>6.6747576931121926E-3</v>
      </c>
    </row>
    <row r="30" spans="1:23">
      <c r="S30">
        <v>9.1252026225118119E-3</v>
      </c>
      <c r="T30">
        <v>-0.14683031435459334</v>
      </c>
      <c r="U30">
        <v>-2.7541022346416304E-2</v>
      </c>
      <c r="V30">
        <v>1.2909496157153082E-2</v>
      </c>
      <c r="W30">
        <v>5.7910555592725829E-3</v>
      </c>
    </row>
    <row r="31" spans="1:23">
      <c r="S31">
        <v>8.052705276763869E-3</v>
      </c>
      <c r="T31">
        <v>-0.13818055148329308</v>
      </c>
      <c r="U31">
        <v>-2.6025569241305845E-2</v>
      </c>
      <c r="V31">
        <v>1.1048962033452981E-2</v>
      </c>
      <c r="W31">
        <v>5.0729341503011737E-3</v>
      </c>
    </row>
    <row r="32" spans="1:23">
      <c r="S32">
        <v>7.1697702330435244E-3</v>
      </c>
      <c r="T32">
        <v>-0.13051273067773261</v>
      </c>
      <c r="U32">
        <v>-2.4668592088937815E-2</v>
      </c>
      <c r="V32">
        <v>9.5389749240560075E-3</v>
      </c>
      <c r="W32">
        <v>4.4807914065041381E-3</v>
      </c>
    </row>
    <row r="33" spans="19:23">
      <c r="S33">
        <v>6.4327884759000893E-3</v>
      </c>
      <c r="T33">
        <v>-0.12365893298743454</v>
      </c>
      <c r="U33">
        <v>-2.3445228902306891E-2</v>
      </c>
      <c r="V33">
        <v>8.296609889555601E-3</v>
      </c>
      <c r="W33">
        <v>3.9863331762687226E-3</v>
      </c>
    </row>
    <row r="34" spans="19:23">
      <c r="S34">
        <v>5.810235841715139E-3</v>
      </c>
      <c r="T34">
        <v>-0.11748869948396574</v>
      </c>
      <c r="U34">
        <v>-2.2335692728450117E-2</v>
      </c>
      <c r="V34">
        <v>7.2622750597724104E-3</v>
      </c>
      <c r="W34">
        <v>3.5688788097667347E-3</v>
      </c>
    </row>
    <row r="35" spans="19:23">
      <c r="S35">
        <v>0.79390509495402339</v>
      </c>
      <c r="T35">
        <v>-0.71436871325770668</v>
      </c>
      <c r="U35">
        <v>1.590727633926339E-2</v>
      </c>
      <c r="V35">
        <v>0.7812084483227949</v>
      </c>
      <c r="W35">
        <v>-0.15973253812714203</v>
      </c>
    </row>
    <row r="36" spans="19:23">
      <c r="S36">
        <v>0.28209479177387808</v>
      </c>
      <c r="T36">
        <v>-0.4832876315575983</v>
      </c>
      <c r="U36">
        <v>-4.0238567956743999E-2</v>
      </c>
      <c r="V36">
        <v>0.27404707818252932</v>
      </c>
      <c r="W36">
        <v>2.6599936459118078E-2</v>
      </c>
    </row>
    <row r="37" spans="19:23">
      <c r="S37">
        <v>0.15329724687795324</v>
      </c>
      <c r="T37">
        <v>-0.37945476233336001</v>
      </c>
      <c r="U37">
        <v>-4.5231503091081336E-2</v>
      </c>
      <c r="V37">
        <v>0.14527292790558996</v>
      </c>
      <c r="W37">
        <v>2.9088651635979772E-2</v>
      </c>
    </row>
    <row r="38" spans="19:23">
      <c r="S38">
        <v>9.9238136869252924E-2</v>
      </c>
      <c r="T38">
        <v>-0.31741616578069487</v>
      </c>
      <c r="U38">
        <v>-4.3635605782288374E-2</v>
      </c>
      <c r="V38">
        <v>9.1503397081487775E-2</v>
      </c>
      <c r="W38">
        <v>2.3312205328194835E-2</v>
      </c>
    </row>
    <row r="39" spans="19:23">
      <c r="S39">
        <v>7.0725561593995151E-2</v>
      </c>
      <c r="T39">
        <v>-0.27512537948195193</v>
      </c>
      <c r="U39">
        <v>-4.0879963577591355E-2</v>
      </c>
      <c r="V39">
        <v>6.3398275617604805E-2</v>
      </c>
      <c r="W39">
        <v>1.8388622455388248E-2</v>
      </c>
    </row>
    <row r="40" spans="19:23">
      <c r="S40">
        <v>5.3570116743574224E-2</v>
      </c>
      <c r="T40">
        <v>-0.24398734745420989</v>
      </c>
      <c r="U40">
        <v>-3.8083446142127123E-2</v>
      </c>
      <c r="V40">
        <v>4.6667695738396457E-2</v>
      </c>
      <c r="W40">
        <v>1.4738168703586562E-2</v>
      </c>
    </row>
    <row r="41" spans="19:23">
      <c r="S41">
        <v>4.2319228612766061E-2</v>
      </c>
      <c r="T41">
        <v>-0.21986719180248354</v>
      </c>
      <c r="U41">
        <v>-3.5509592637943496E-2</v>
      </c>
      <c r="V41">
        <v>3.5821870493931152E-2</v>
      </c>
      <c r="W41">
        <v>1.2044040255156197E-2</v>
      </c>
    </row>
    <row r="42" spans="19:23">
      <c r="S42">
        <v>3.4477316457838247E-2</v>
      </c>
      <c r="T42">
        <v>-0.20049780265154626</v>
      </c>
      <c r="U42">
        <v>-3.3204097238741591E-2</v>
      </c>
      <c r="V42">
        <v>2.8353656756957491E-2</v>
      </c>
      <c r="W42">
        <v>1.001918288963635E-2</v>
      </c>
    </row>
    <row r="43" spans="19:23">
      <c r="S43">
        <v>2.8757679312855323E-2</v>
      </c>
      <c r="T43">
        <v>-0.18451899722565485</v>
      </c>
      <c r="U43">
        <v>-3.1152263582559896E-2</v>
      </c>
      <c r="V43">
        <v>2.2974568274543309E-2</v>
      </c>
      <c r="W43">
        <v>8.4640641382604832E-3</v>
      </c>
    </row>
    <row r="44" spans="19:23">
      <c r="S44">
        <v>2.4436704550346112E-2</v>
      </c>
      <c r="T44">
        <v>-0.17105895272198057</v>
      </c>
      <c r="U44">
        <v>-2.9324449634326896E-2</v>
      </c>
      <c r="V44">
        <v>1.8962801896286269E-2</v>
      </c>
      <c r="W44">
        <v>7.244977998130152E-3</v>
      </c>
    </row>
    <row r="45" spans="19:23">
      <c r="S45">
        <v>2.1079538598600272E-2</v>
      </c>
      <c r="T45">
        <v>-0.15952980581065435</v>
      </c>
      <c r="U45">
        <v>-2.7690053442410809E-2</v>
      </c>
      <c r="V45">
        <v>1.5886465814458843E-2</v>
      </c>
      <c r="W45">
        <v>6.2716300603160502E-3</v>
      </c>
    </row>
    <row r="46" spans="19:23">
      <c r="S46">
        <v>1.8410796981432984E-2</v>
      </c>
      <c r="T46">
        <v>-0.14951891654934049</v>
      </c>
      <c r="U46">
        <v>-2.6221623913581484E-2</v>
      </c>
      <c r="V46">
        <v>1.3473318815073906E-2</v>
      </c>
      <c r="W46">
        <v>5.4818538615928301E-3</v>
      </c>
    </row>
    <row r="47" spans="19:23">
      <c r="S47">
        <v>1.6248513515245044E-2</v>
      </c>
      <c r="T47">
        <v>-0.14072702793495445</v>
      </c>
      <c r="U47">
        <v>-2.4895702883941884E-2</v>
      </c>
      <c r="V47">
        <v>1.1544347782560815E-2</v>
      </c>
      <c r="W47">
        <v>4.8319079687432903E-3</v>
      </c>
    </row>
    <row r="48" spans="19:23">
      <c r="S48">
        <v>1.4468145351988888E-2</v>
      </c>
      <c r="T48">
        <v>-0.13293115597083344</v>
      </c>
      <c r="U48">
        <v>-2.3692602123768891E-2</v>
      </c>
      <c r="V48">
        <v>9.9776502761263451E-3</v>
      </c>
      <c r="W48">
        <v>4.2903550690142006E-3</v>
      </c>
    </row>
    <row r="49" spans="19:23">
      <c r="S49">
        <v>1.2981889766923996E-2</v>
      </c>
      <c r="T49">
        <v>-0.12596131463281754</v>
      </c>
      <c r="U49">
        <v>-2.2595884973178697E-2</v>
      </c>
      <c r="V49">
        <v>8.687732194914935E-3</v>
      </c>
      <c r="W49">
        <v>3.8341504849851412E-3</v>
      </c>
    </row>
    <row r="50" spans="19:23">
      <c r="S50">
        <v>1.1726260841154306E-2</v>
      </c>
      <c r="T50">
        <v>-0.11968536756054945</v>
      </c>
      <c r="U50">
        <v>-2.1591821343879023E-2</v>
      </c>
      <c r="V50">
        <v>7.613106137098701E-3</v>
      </c>
      <c r="W50">
        <v>3.4460944510203329E-3</v>
      </c>
    </row>
    <row r="51" spans="19:23">
      <c r="S51">
        <v>1.1731280819263674</v>
      </c>
      <c r="T51">
        <v>-0.70890823037029038</v>
      </c>
      <c r="U51">
        <v>9.2843970311215468E-2</v>
      </c>
      <c r="V51">
        <v>0.75372905873609974</v>
      </c>
      <c r="W51">
        <v>-0.38732893516300676</v>
      </c>
    </row>
    <row r="52" spans="19:23">
      <c r="S52">
        <v>0.42208565340975707</v>
      </c>
      <c r="T52">
        <v>-0.48593856254403239</v>
      </c>
      <c r="U52">
        <v>-1.2770581826855027E-2</v>
      </c>
      <c r="V52">
        <v>0.27461546270703618</v>
      </c>
      <c r="W52">
        <v>-1.5213473533514056E-2</v>
      </c>
    </row>
    <row r="53" spans="19:23">
      <c r="S53">
        <v>0.23032943298089037</v>
      </c>
      <c r="T53">
        <v>-0.38324731949334651</v>
      </c>
      <c r="U53">
        <v>-3.0583577302491224E-2</v>
      </c>
      <c r="V53">
        <v>0.14743623986009535</v>
      </c>
      <c r="W53">
        <v>1.4131952439959716E-2</v>
      </c>
    </row>
    <row r="54" spans="19:23">
      <c r="S54">
        <v>0.14941646778553647</v>
      </c>
      <c r="T54">
        <v>-0.32131861666140255</v>
      </c>
      <c r="U54">
        <v>-3.4380429775173194E-2</v>
      </c>
      <c r="V54">
        <v>9.3481974907584031E-2</v>
      </c>
      <c r="W54">
        <v>1.6224797576897734E-2</v>
      </c>
    </row>
    <row r="55" spans="19:23">
      <c r="S55">
        <v>0.10662011242016683</v>
      </c>
      <c r="T55">
        <v>-0.27889348140312692</v>
      </c>
      <c r="U55">
        <v>-3.4454673796592006E-2</v>
      </c>
      <c r="V55">
        <v>6.5042101086820833E-2</v>
      </c>
      <c r="W55">
        <v>1.4464140152274181E-2</v>
      </c>
    </row>
    <row r="56" spans="19:23">
      <c r="S56">
        <v>8.0825283453125008E-2</v>
      </c>
      <c r="T56">
        <v>-0.24755999593340555</v>
      </c>
      <c r="U56">
        <v>-3.3346942496056096E-2</v>
      </c>
      <c r="V56">
        <v>4.8022386637403373E-2</v>
      </c>
      <c r="W56">
        <v>1.2339066084311406E-2</v>
      </c>
    </row>
    <row r="57" spans="19:23">
      <c r="S57">
        <v>6.3888235690496772E-2</v>
      </c>
      <c r="T57">
        <v>-0.22323709890211574</v>
      </c>
      <c r="U57">
        <v>-3.1869772642323789E-2</v>
      </c>
      <c r="V57">
        <v>3.6948353863567346E-2</v>
      </c>
      <c r="W57">
        <v>1.0473690639786707E-2</v>
      </c>
    </row>
    <row r="58" spans="19:23">
      <c r="S58">
        <v>5.2072747012343559E-2</v>
      </c>
      <c r="T58">
        <v>-0.20367481858157394</v>
      </c>
      <c r="U58">
        <v>-3.0320414313846071E-2</v>
      </c>
      <c r="V58">
        <v>2.9301991149780784E-2</v>
      </c>
      <c r="W58">
        <v>8.9386569726129274E-3</v>
      </c>
    </row>
    <row r="59" spans="19:23">
      <c r="S59">
        <v>4.3449188219495095E-2</v>
      </c>
      <c r="T59">
        <v>-0.18751797173634907</v>
      </c>
      <c r="U59">
        <v>-2.8813756703370785E-2</v>
      </c>
      <c r="V59">
        <v>2.3782696648582517E-2</v>
      </c>
      <c r="W59">
        <v>7.6917733783223976E-3</v>
      </c>
    </row>
    <row r="60" spans="19:23">
      <c r="S60">
        <v>3.6931003257332166E-2</v>
      </c>
      <c r="T60">
        <v>-0.17389539948049118</v>
      </c>
      <c r="U60">
        <v>-2.7392879244631796E-2</v>
      </c>
      <c r="V60">
        <v>1.9659127034897743E-2</v>
      </c>
      <c r="W60">
        <v>6.6762913623760935E-3</v>
      </c>
    </row>
    <row r="61" spans="19:23">
      <c r="S61">
        <v>3.1864585355907291E-2</v>
      </c>
      <c r="T61">
        <v>-0.16221835111268651</v>
      </c>
      <c r="U61">
        <v>-2.6070753151355847E-2</v>
      </c>
      <c r="V61">
        <v>1.6492391151571129E-2</v>
      </c>
      <c r="W61">
        <v>5.8427293100817681E-3</v>
      </c>
    </row>
    <row r="62" spans="19:23">
      <c r="S62">
        <v>2.7835691377881958E-2</v>
      </c>
      <c r="T62">
        <v>-0.15207281219714144</v>
      </c>
      <c r="U62">
        <v>-2.484742416385189E-2</v>
      </c>
      <c r="V62">
        <v>1.4005178123152497E-2</v>
      </c>
      <c r="W62">
        <v>5.1519917255874476E-3</v>
      </c>
    </row>
    <row r="63" spans="19:23">
      <c r="S63">
        <v>2.4570424407630291E-2</v>
      </c>
      <c r="T63">
        <v>-0.1431580817043544</v>
      </c>
      <c r="U63">
        <v>-2.371753145934483E-2</v>
      </c>
      <c r="V63">
        <v>1.201478317589939E-2</v>
      </c>
      <c r="W63">
        <v>4.5740710601539182E-3</v>
      </c>
    </row>
    <row r="64" spans="19:23">
      <c r="S64">
        <v>2.1881220429426564E-2</v>
      </c>
      <c r="T64">
        <v>-0.13524982121512494</v>
      </c>
      <c r="U64">
        <v>-2.2673720157139674E-2</v>
      </c>
      <c r="V64">
        <v>1.039658400446172E-2</v>
      </c>
      <c r="W64">
        <v>4.0860628772142098E-3</v>
      </c>
    </row>
    <row r="65" spans="19:23">
      <c r="S65">
        <v>1.9635786294650868E-2</v>
      </c>
      <c r="T65">
        <v>-0.1281768321244518</v>
      </c>
      <c r="U65">
        <v>-2.1708209165960179E-2</v>
      </c>
      <c r="V65">
        <v>9.0630549439562925E-3</v>
      </c>
      <c r="W65">
        <v>3.6704181827491617E-3</v>
      </c>
    </row>
    <row r="66" spans="19:23">
      <c r="S66">
        <v>1.7738429621897783E-2</v>
      </c>
      <c r="T66">
        <v>-0.12180591521668069</v>
      </c>
      <c r="U66">
        <v>-2.0813497118956577E-2</v>
      </c>
      <c r="V66">
        <v>7.9511698054963772E-3</v>
      </c>
      <c r="W66">
        <v>3.3135870702246436E-3</v>
      </c>
    </row>
    <row r="67" spans="19:23">
      <c r="S67">
        <v>1.5255512618420961</v>
      </c>
      <c r="T67">
        <v>-0.69592868580222367</v>
      </c>
      <c r="U67">
        <v>0.16592451520797458</v>
      </c>
      <c r="V67">
        <v>0.70442745825211672</v>
      </c>
      <c r="W67">
        <v>-0.59443021655746631</v>
      </c>
    </row>
    <row r="68" spans="19:23">
      <c r="S68">
        <v>0.55857580339446833</v>
      </c>
      <c r="T68">
        <v>-0.48584680848837297</v>
      </c>
      <c r="U68">
        <v>1.4545798981219124E-2</v>
      </c>
      <c r="V68">
        <v>0.27102554542558871</v>
      </c>
      <c r="W68">
        <v>-5.6392899986987002E-2</v>
      </c>
    </row>
    <row r="69" spans="19:23">
      <c r="S69">
        <v>0.30659449375590647</v>
      </c>
      <c r="T69">
        <v>-0.38556676960705605</v>
      </c>
      <c r="U69">
        <v>-1.5794455170229905E-2</v>
      </c>
      <c r="V69">
        <v>0.14809439255220119</v>
      </c>
      <c r="W69">
        <v>-9.7243875542687964E-4</v>
      </c>
    </row>
    <row r="70" spans="19:23">
      <c r="S70">
        <v>0.19947114020071632</v>
      </c>
      <c r="T70">
        <v>-0.32428684617833348</v>
      </c>
      <c r="U70">
        <v>-2.4963141195523425E-2</v>
      </c>
      <c r="V70">
        <v>9.4742941861253469E-2</v>
      </c>
      <c r="W70">
        <v>8.9750313622148862E-3</v>
      </c>
    </row>
    <row r="71" spans="19:23">
      <c r="S71">
        <v>0.14258727070411176</v>
      </c>
      <c r="T71">
        <v>-0.28201149490599464</v>
      </c>
      <c r="U71">
        <v>-2.7884844840376573E-2</v>
      </c>
      <c r="V71">
        <v>6.6287015466796995E-2</v>
      </c>
      <c r="W71">
        <v>1.0417064660933494E-2</v>
      </c>
    </row>
    <row r="72" spans="19:23">
      <c r="S72">
        <v>0.10821701073513107</v>
      </c>
      <c r="T72">
        <v>-0.25065262442251296</v>
      </c>
      <c r="U72">
        <v>-2.8487122737476365E-2</v>
      </c>
      <c r="V72">
        <v>4.9132527558304467E-2</v>
      </c>
      <c r="W72">
        <v>9.8505537362687037E-3</v>
      </c>
    </row>
    <row r="73" spans="19:23">
      <c r="S73">
        <v>8.5611302406087622E-2</v>
      </c>
      <c r="T73">
        <v>-0.226237656201207</v>
      </c>
      <c r="U73">
        <v>-2.8125270759023865E-2</v>
      </c>
      <c r="V73">
        <v>3.7914408214719787E-2</v>
      </c>
      <c r="W73">
        <v>8.8373492986086738E-3</v>
      </c>
    </row>
    <row r="74" spans="19:23">
      <c r="S74">
        <v>6.9821975424308569E-2</v>
      </c>
      <c r="T74">
        <v>-0.2065589067911387</v>
      </c>
      <c r="U74">
        <v>-2.7347386273366019E-2</v>
      </c>
      <c r="V74">
        <v>3.0139730211724163E-2</v>
      </c>
      <c r="W74">
        <v>7.8084064156647036E-3</v>
      </c>
    </row>
    <row r="75" spans="19:23">
      <c r="S75">
        <v>5.8287365348435538E-2</v>
      </c>
      <c r="T75">
        <v>-0.19027918527983143</v>
      </c>
      <c r="U75">
        <v>-2.6398363986279164E-2</v>
      </c>
      <c r="V75">
        <v>2.4511647269722332E-2</v>
      </c>
      <c r="W75">
        <v>6.8812214873790094E-3</v>
      </c>
    </row>
    <row r="76" spans="19:23">
      <c r="S76">
        <v>4.9562448852082469E-2</v>
      </c>
      <c r="T76">
        <v>-0.17653530364081271</v>
      </c>
      <c r="U76">
        <v>-2.5394570957746044E-2</v>
      </c>
      <c r="V76">
        <v>2.0297059620717019E-2</v>
      </c>
      <c r="W76">
        <v>6.0775948414002016E-3</v>
      </c>
    </row>
    <row r="77" spans="19:23">
      <c r="S77">
        <v>4.2776781643606092E-2</v>
      </c>
      <c r="T77">
        <v>-0.16474200926364765</v>
      </c>
      <c r="U77">
        <v>-2.4393045524008311E-2</v>
      </c>
      <c r="V77">
        <v>1.7054213483374558E-2</v>
      </c>
      <c r="W77">
        <v>5.3898875201534814E-3</v>
      </c>
    </row>
    <row r="78" spans="19:23">
      <c r="S78">
        <v>3.7378081091680532E-2</v>
      </c>
      <c r="T78">
        <v>-0.15448668437474744</v>
      </c>
      <c r="U78">
        <v>-2.3421720656613368E-2</v>
      </c>
      <c r="V78">
        <v>1.4503070829073336E-2</v>
      </c>
      <c r="W78">
        <v>4.8027431813690768E-3</v>
      </c>
    </row>
    <row r="79" spans="19:23">
      <c r="S79">
        <v>3.3000846892662763E-2</v>
      </c>
      <c r="T79">
        <v>-0.14546900980163574</v>
      </c>
      <c r="U79">
        <v>-2.2493632581794595E-2</v>
      </c>
      <c r="V79">
        <v>1.2458631733101643E-2</v>
      </c>
      <c r="W79">
        <v>4.3003289733649606E-3</v>
      </c>
    </row>
    <row r="80" spans="19:23">
      <c r="S80">
        <v>2.9394595377845622E-2</v>
      </c>
      <c r="T80">
        <v>-0.13746453820137139</v>
      </c>
      <c r="U80">
        <v>-2.1613988564705148E-2</v>
      </c>
      <c r="V80">
        <v>1.0794422767093862E-2</v>
      </c>
      <c r="W80">
        <v>3.8685702029465281E-3</v>
      </c>
    </row>
    <row r="81" spans="19:23">
      <c r="S81">
        <v>2.6382541165902631E-2</v>
      </c>
      <c r="T81">
        <v>-0.13030173317779895</v>
      </c>
      <c r="U81">
        <v>-2.0783838402379261E-2</v>
      </c>
      <c r="V81">
        <v>9.4214468395753675E-3</v>
      </c>
      <c r="W81">
        <v>3.4956177265898928E-3</v>
      </c>
    </row>
    <row r="82" spans="19:23">
      <c r="S82">
        <v>2.3836738466282752E-2</v>
      </c>
      <c r="T82">
        <v>-0.12384696261143741</v>
      </c>
      <c r="U82">
        <v>-2.0002044829030927E-2</v>
      </c>
      <c r="V82">
        <v>8.2755113443294306E-3</v>
      </c>
      <c r="W82">
        <v>3.1717147537831283E-3</v>
      </c>
    </row>
    <row r="83" spans="19:23">
      <c r="S83">
        <v>1.8413507015166162</v>
      </c>
      <c r="T83">
        <v>-0.67592096662085532</v>
      </c>
      <c r="U83">
        <v>0.2330859469791523</v>
      </c>
      <c r="V83">
        <v>0.63584941388114724</v>
      </c>
      <c r="W83">
        <v>-0.77140925956387851</v>
      </c>
    </row>
    <row r="84" spans="19:23">
      <c r="S84">
        <v>0.68954632915676473</v>
      </c>
      <c r="T84">
        <v>-0.48304817276153561</v>
      </c>
      <c r="U84">
        <v>4.1299631279045866E-2</v>
      </c>
      <c r="V84">
        <v>0.26339206804381216</v>
      </c>
      <c r="W84">
        <v>-9.5918820324520412E-2</v>
      </c>
    </row>
    <row r="85" spans="19:23">
      <c r="S85">
        <v>0.38133168417361235</v>
      </c>
      <c r="T85">
        <v>-0.38640653291957522</v>
      </c>
      <c r="U85">
        <v>-1.0149697491925673E-3</v>
      </c>
      <c r="V85">
        <v>0.14724525726395823</v>
      </c>
      <c r="W85">
        <v>-1.5971789150998623E-2</v>
      </c>
    </row>
    <row r="86" spans="19:23">
      <c r="S86">
        <v>0.24902744630922746</v>
      </c>
      <c r="T86">
        <v>-0.32630825440988792</v>
      </c>
      <c r="U86">
        <v>-1.5456161620132077E-2</v>
      </c>
      <c r="V86">
        <v>9.5274608968118471E-2</v>
      </c>
      <c r="W86">
        <v>1.6541289827664239E-3</v>
      </c>
    </row>
    <row r="87" spans="19:23">
      <c r="S87">
        <v>0.1784124116152771</v>
      </c>
      <c r="T87">
        <v>-0.2844669793827927</v>
      </c>
      <c r="U87">
        <v>-2.1210913553503116E-2</v>
      </c>
      <c r="V87">
        <v>6.7122781935410214E-2</v>
      </c>
      <c r="W87">
        <v>6.2880599224709611E-3</v>
      </c>
    </row>
    <row r="88" spans="19:23">
      <c r="S88">
        <v>0.13560986465264849</v>
      </c>
      <c r="T88">
        <v>-0.25325413810809483</v>
      </c>
      <c r="U88">
        <v>-2.3528854691089267E-2</v>
      </c>
      <c r="V88">
        <v>4.9990207805017048E-2</v>
      </c>
      <c r="W88">
        <v>7.2933781493200317E-3</v>
      </c>
    </row>
    <row r="89" spans="19:23">
      <c r="S89">
        <v>0.10739700462319543</v>
      </c>
      <c r="T89">
        <v>-0.22885920817746261</v>
      </c>
      <c r="U89">
        <v>-2.4292440710853441E-2</v>
      </c>
      <c r="V89">
        <v>3.871401087638289E-2</v>
      </c>
      <c r="W89">
        <v>7.146639210837618E-3</v>
      </c>
    </row>
    <row r="90" spans="19:23">
      <c r="S90">
        <v>8.7660144700582046E-2</v>
      </c>
      <c r="T90">
        <v>-0.20914169374697461</v>
      </c>
      <c r="U90">
        <v>-2.4296309809278507E-2</v>
      </c>
      <c r="V90">
        <v>3.0862247003631472E-2</v>
      </c>
      <c r="W90">
        <v>6.6354045399262462E-3</v>
      </c>
    </row>
    <row r="91" spans="19:23">
      <c r="S91">
        <v>7.3224414978855124E-2</v>
      </c>
      <c r="T91">
        <v>-0.19279535135757664</v>
      </c>
      <c r="U91">
        <v>-2.3914187275744299E-2</v>
      </c>
      <c r="V91">
        <v>2.5157812225094126E-2</v>
      </c>
      <c r="W91">
        <v>6.0368161420124942E-3</v>
      </c>
    </row>
    <row r="92" spans="19:23">
      <c r="S92">
        <v>6.2294741661281239E-2</v>
      </c>
      <c r="T92">
        <v>-0.17897228825906356</v>
      </c>
      <c r="U92">
        <v>-2.3335509319556465E-2</v>
      </c>
      <c r="V92">
        <v>2.0873742217214015E-2</v>
      </c>
      <c r="W92">
        <v>5.4517906474990697E-3</v>
      </c>
    </row>
    <row r="93" spans="19:23">
      <c r="S93">
        <v>5.3787877292970382E-2</v>
      </c>
      <c r="T93">
        <v>-0.16709516395455265</v>
      </c>
      <c r="U93">
        <v>-2.2661457332316455E-2</v>
      </c>
      <c r="V93">
        <v>1.7569636293920908E-2</v>
      </c>
      <c r="W93">
        <v>4.9150792358704856E-3</v>
      </c>
    </row>
    <row r="94" spans="19:23">
      <c r="S94">
        <v>4.7015532078059093E-2</v>
      </c>
      <c r="T94">
        <v>-0.15675555571427957</v>
      </c>
      <c r="U94">
        <v>-2.1948004727244085E-2</v>
      </c>
      <c r="V94">
        <v>1.4965126426685516E-2</v>
      </c>
      <c r="W94">
        <v>4.4354879292319987E-3</v>
      </c>
    </row>
    <row r="95" spans="19:23">
      <c r="S95">
        <v>4.1521660772853984E-2</v>
      </c>
      <c r="T95">
        <v>-0.14765537502645834</v>
      </c>
      <c r="U95">
        <v>-2.1226742850720869E-2</v>
      </c>
      <c r="V95">
        <v>1.2874351563894089E-2</v>
      </c>
      <c r="W95">
        <v>4.0116671896998262E-3</v>
      </c>
    </row>
    <row r="96" spans="19:23">
      <c r="S96">
        <v>3.6993421234423909E-2</v>
      </c>
      <c r="T96">
        <v>-0.13957132961278282</v>
      </c>
      <c r="U96">
        <v>-2.051558167567178E-2</v>
      </c>
      <c r="V96">
        <v>1.1169881860220662E-2</v>
      </c>
      <c r="W96">
        <v>3.6385939272817994E-3</v>
      </c>
    </row>
    <row r="97" spans="19:23">
      <c r="S97">
        <v>3.3209833546459372E-2</v>
      </c>
      <c r="T97">
        <v>-0.13233243477470841</v>
      </c>
      <c r="U97">
        <v>-1.9824520245649804E-2</v>
      </c>
      <c r="V97">
        <v>9.7618271500732479E-3</v>
      </c>
      <c r="W97">
        <v>3.3102786239143241E-3</v>
      </c>
    </row>
    <row r="98" spans="19:23">
      <c r="S98">
        <v>3.001085275825818E-2</v>
      </c>
      <c r="T98">
        <v>-0.12580526709375206</v>
      </c>
      <c r="U98">
        <v>-1.9158882867098773E-2</v>
      </c>
      <c r="V98">
        <v>8.5852137553095679E-3</v>
      </c>
      <c r="W98">
        <v>3.020873627535928E-3</v>
      </c>
    </row>
    <row r="99" spans="19:23">
      <c r="S99">
        <v>2.1123919605857964</v>
      </c>
      <c r="T99">
        <v>-0.64956800231296663</v>
      </c>
      <c r="U99">
        <v>0.29256479165456606</v>
      </c>
      <c r="V99">
        <v>0.55140441580093214</v>
      </c>
      <c r="W99">
        <v>-0.91070856445628068</v>
      </c>
    </row>
    <row r="100" spans="19:23">
      <c r="S100">
        <v>0.81310109032864697</v>
      </c>
      <c r="T100">
        <v>-0.4776188115500733</v>
      </c>
      <c r="U100">
        <v>6.7096455755714782E-2</v>
      </c>
      <c r="V100">
        <v>0.25192894431421281</v>
      </c>
      <c r="W100">
        <v>-0.13283299015787928</v>
      </c>
    </row>
    <row r="101" spans="19:23">
      <c r="S101">
        <v>0.45380054894295707</v>
      </c>
      <c r="T101">
        <v>-0.38577508157126872</v>
      </c>
      <c r="U101">
        <v>1.3605093474337686E-2</v>
      </c>
      <c r="V101">
        <v>0.14491185736366077</v>
      </c>
      <c r="W101">
        <v>-3.0616767288442901E-2</v>
      </c>
    </row>
    <row r="102" spans="19:23">
      <c r="S102">
        <v>0.29771441060775877</v>
      </c>
      <c r="T102">
        <v>-0.32737752677549181</v>
      </c>
      <c r="U102">
        <v>-5.9326232335465976E-3</v>
      </c>
      <c r="V102">
        <v>9.5074468116466013E-2</v>
      </c>
      <c r="W102">
        <v>-5.6457833887161432E-3</v>
      </c>
    </row>
    <row r="103" spans="19:23">
      <c r="S103">
        <v>0.21388090605616758</v>
      </c>
      <c r="T103">
        <v>-0.28625158226828684</v>
      </c>
      <c r="U103">
        <v>-1.4474135242423844E-2</v>
      </c>
      <c r="V103">
        <v>6.7543284679346421E-2</v>
      </c>
      <c r="W103">
        <v>2.1187857520248436E-3</v>
      </c>
    </row>
    <row r="104" spans="19:23">
      <c r="S104">
        <v>0.16286750396763996</v>
      </c>
      <c r="T104">
        <v>-0.25535596502170832</v>
      </c>
      <c r="U104">
        <v>-1.8497692210813658E-2</v>
      </c>
      <c r="V104">
        <v>5.058962954705061E-2</v>
      </c>
      <c r="W104">
        <v>4.6890091104887866E-3</v>
      </c>
    </row>
    <row r="105" spans="19:23">
      <c r="S105">
        <v>0.12915286537517812</v>
      </c>
      <c r="T105">
        <v>-0.23109376283479455</v>
      </c>
      <c r="U105">
        <v>-2.0388179491923272E-2</v>
      </c>
      <c r="V105">
        <v>3.9342327413460949E-2</v>
      </c>
      <c r="W105">
        <v>5.4136824496428867E-3</v>
      </c>
    </row>
    <row r="106" spans="19:23">
      <c r="S106">
        <v>0.10552141335243929</v>
      </c>
      <c r="T106">
        <v>-0.21141595754228959</v>
      </c>
      <c r="U106">
        <v>-2.1178908837970051E-2</v>
      </c>
      <c r="V106">
        <v>3.146562974998128E-2</v>
      </c>
      <c r="W106">
        <v>5.4269710153949892E-3</v>
      </c>
    </row>
    <row r="107" spans="19:23">
      <c r="S107">
        <v>8.8211677217113732E-2</v>
      </c>
      <c r="T107">
        <v>-0.19506001094982126</v>
      </c>
      <c r="U107">
        <v>-2.1369666746541498E-2</v>
      </c>
      <c r="V107">
        <v>2.5718036904510362E-2</v>
      </c>
      <c r="W107">
        <v>5.1632099758392126E-3</v>
      </c>
    </row>
    <row r="108" spans="19:23">
      <c r="S108">
        <v>7.5090839616219637E-2</v>
      </c>
      <c r="T108">
        <v>-0.18120058864180413</v>
      </c>
      <c r="U108">
        <v>-2.1221949805116883E-2</v>
      </c>
      <c r="V108">
        <v>2.1386616627979596E-2</v>
      </c>
      <c r="W108">
        <v>4.8019579917145741E-3</v>
      </c>
    </row>
    <row r="109" spans="19:23">
      <c r="S109">
        <v>6.4868988179861156E-2</v>
      </c>
      <c r="T109">
        <v>-0.16927266270150559</v>
      </c>
      <c r="U109">
        <v>-2.0880734904328877E-2</v>
      </c>
      <c r="V109">
        <v>1.8036567153450322E-2</v>
      </c>
      <c r="W109">
        <v>4.4204095635230365E-3</v>
      </c>
    </row>
    <row r="110" spans="19:23">
      <c r="S110">
        <v>5.6725068617869613E-2</v>
      </c>
      <c r="T110">
        <v>-0.15887480709979013</v>
      </c>
      <c r="U110">
        <v>-2.0429947696384093E-2</v>
      </c>
      <c r="V110">
        <v>1.5389617352858419E-2</v>
      </c>
      <c r="W110">
        <v>4.0517038151784458E-3</v>
      </c>
    </row>
    <row r="111" spans="19:23">
      <c r="S111">
        <v>5.0114281380620254E-2</v>
      </c>
      <c r="T111">
        <v>-0.14971302138043868</v>
      </c>
      <c r="U111">
        <v>-1.9919747999963683E-2</v>
      </c>
      <c r="V111">
        <v>1.3260503121236082E-2</v>
      </c>
      <c r="W111">
        <v>3.7091462358534366E-3</v>
      </c>
    </row>
    <row r="112" spans="19:23">
      <c r="S112">
        <v>4.4662448833595637E-2</v>
      </c>
      <c r="T112">
        <v>-0.14156644186705852</v>
      </c>
      <c r="U112">
        <v>-1.9380798606692576E-2</v>
      </c>
      <c r="V112">
        <v>1.152175120986303E-2</v>
      </c>
      <c r="W112">
        <v>3.3969091943917211E-3</v>
      </c>
    </row>
    <row r="113" spans="19:23">
      <c r="S113">
        <v>4.0104995930678858E-2</v>
      </c>
      <c r="T113">
        <v>-0.13426553396681876</v>
      </c>
      <c r="U113">
        <v>-1.883210760722797E-2</v>
      </c>
      <c r="V113">
        <v>1.0083170406615504E-2</v>
      </c>
      <c r="W113">
        <v>3.1149762365446265E-3</v>
      </c>
    </row>
    <row r="114" spans="19:23">
      <c r="S114">
        <v>3.6250135950267104E-2</v>
      </c>
      <c r="T114">
        <v>-0.12767773236928512</v>
      </c>
      <c r="U114">
        <v>-1.8285519283803595E-2</v>
      </c>
      <c r="V114">
        <v>8.8794014927066553E-3</v>
      </c>
      <c r="W114">
        <v>2.8614963491352687E-3</v>
      </c>
    </row>
    <row r="115" spans="19:23">
      <c r="S115">
        <v>2.3325722202425969</v>
      </c>
      <c r="T115">
        <v>-0.61771086295621225</v>
      </c>
      <c r="U115">
        <v>0.34297227145727704</v>
      </c>
      <c r="V115">
        <v>0.45513499364594273</v>
      </c>
      <c r="W115">
        <v>-1.0072812924021819</v>
      </c>
    </row>
    <row r="116" spans="19:23">
      <c r="S116">
        <v>0.92751236320409969</v>
      </c>
      <c r="T116">
        <v>-0.46967310121298173</v>
      </c>
      <c r="U116">
        <v>9.156785239822364E-2</v>
      </c>
      <c r="V116">
        <v>0.23694148466346832</v>
      </c>
      <c r="W116">
        <v>-0.16627080101967937</v>
      </c>
    </row>
    <row r="117" spans="19:23">
      <c r="S117">
        <v>0.5232931352835275</v>
      </c>
      <c r="T117">
        <v>-0.38369570989039409</v>
      </c>
      <c r="U117">
        <v>2.791948507862671E-2</v>
      </c>
      <c r="V117">
        <v>0.14114173777488678</v>
      </c>
      <c r="W117">
        <v>-4.4667216814042322E-2</v>
      </c>
    </row>
    <row r="118" spans="19:23">
      <c r="S118">
        <v>0.34516941454440275</v>
      </c>
      <c r="T118">
        <v>-0.32749665910866671</v>
      </c>
      <c r="U118">
        <v>3.5345510871472299E-3</v>
      </c>
      <c r="V118">
        <v>9.4149201726235615E-2</v>
      </c>
      <c r="W118">
        <v>-1.2833289699656379E-2</v>
      </c>
    </row>
    <row r="119" spans="19:23">
      <c r="S119">
        <v>0.24878026231372261</v>
      </c>
      <c r="T119">
        <v>-0.28736110013915678</v>
      </c>
      <c r="U119">
        <v>-7.716167565086824E-3</v>
      </c>
      <c r="V119">
        <v>6.7546599335250743E-2</v>
      </c>
      <c r="W119">
        <v>-2.0486869373005936E-3</v>
      </c>
    </row>
    <row r="120" spans="19:23">
      <c r="S120">
        <v>0.18985381051370789</v>
      </c>
      <c r="T120">
        <v>-0.25695211396828466</v>
      </c>
      <c r="U120">
        <v>-1.3419660690915346E-2</v>
      </c>
      <c r="V120">
        <v>5.0927167687830635E-2</v>
      </c>
      <c r="W120">
        <v>2.059389092324644E-3</v>
      </c>
    </row>
    <row r="121" spans="19:23">
      <c r="S121">
        <v>0.15078600877302686</v>
      </c>
      <c r="T121">
        <v>-0.23293504001105317</v>
      </c>
      <c r="U121">
        <v>-1.6429806247605254E-2</v>
      </c>
      <c r="V121">
        <v>3.9795755542772343E-2</v>
      </c>
      <c r="W121">
        <v>3.6509794293251305E-3</v>
      </c>
    </row>
    <row r="122" spans="19:23">
      <c r="S122">
        <v>0.12333936020620455</v>
      </c>
      <c r="T122">
        <v>-0.21337566698826266</v>
      </c>
      <c r="U122">
        <v>-1.8007261356411623E-2</v>
      </c>
      <c r="V122">
        <v>3.1946713331005912E-2</v>
      </c>
      <c r="W122">
        <v>4.1907084460968353E-3</v>
      </c>
    </row>
    <row r="123" spans="19:23">
      <c r="S123">
        <v>0.10319989200732094</v>
      </c>
      <c r="T123">
        <v>-0.19706756404271028</v>
      </c>
      <c r="U123">
        <v>-1.8773534407077852E-2</v>
      </c>
      <c r="V123">
        <v>2.6189642735946768E-2</v>
      </c>
      <c r="W123">
        <v>4.2652650147605676E-3</v>
      </c>
    </row>
    <row r="124" spans="19:23">
      <c r="S124">
        <v>8.7913137693879775E-2</v>
      </c>
      <c r="T124">
        <v>-0.18321507791411004</v>
      </c>
      <c r="U124">
        <v>-1.9060388044046042E-2</v>
      </c>
      <c r="V124">
        <v>2.1833440558462584E-2</v>
      </c>
      <c r="W124">
        <v>4.1313320830663313E-3</v>
      </c>
    </row>
    <row r="125" spans="19:23">
      <c r="S125">
        <v>7.5990722340117209E-2</v>
      </c>
      <c r="T125">
        <v>-0.17126983775964444</v>
      </c>
      <c r="U125">
        <v>-1.9055823083905441E-2</v>
      </c>
      <c r="V125">
        <v>1.8453130136375336E-2</v>
      </c>
      <c r="W125">
        <v>3.9081012468175046E-3</v>
      </c>
    </row>
    <row r="126" spans="19:23">
      <c r="S126">
        <v>6.6483264443392504E-2</v>
      </c>
      <c r="T126">
        <v>-0.16084019493505008</v>
      </c>
      <c r="U126">
        <v>-1.88713860983315E-2</v>
      </c>
      <c r="V126">
        <v>1.57749683964265E-2</v>
      </c>
      <c r="W126">
        <v>3.6529586064158693E-3</v>
      </c>
    </row>
    <row r="127" spans="19:23">
      <c r="S127">
        <v>5.8759726971626916E-2</v>
      </c>
      <c r="T127">
        <v>-0.15163808845658544</v>
      </c>
      <c r="U127">
        <v>-1.8575672296991707E-2</v>
      </c>
      <c r="V127">
        <v>1.3615756440804592E-2</v>
      </c>
      <c r="W127">
        <v>3.3938963033974794E-3</v>
      </c>
    </row>
    <row r="128" spans="19:23">
      <c r="S128">
        <v>5.2386079645281407E-2</v>
      </c>
      <c r="T128">
        <v>-0.14344635721241775</v>
      </c>
      <c r="U128">
        <v>-1.8212055513427267E-2</v>
      </c>
      <c r="V128">
        <v>1.1848901020990621E-2</v>
      </c>
      <c r="W128">
        <v>3.144345810381928E-3</v>
      </c>
    </row>
    <row r="129" spans="19:23">
      <c r="S129">
        <v>4.7055053150317223E-2</v>
      </c>
      <c r="T129">
        <v>-0.1360978181265243</v>
      </c>
      <c r="U129">
        <v>-1.7808552995241405E-2</v>
      </c>
      <c r="V129">
        <v>1.0384510867979074E-2</v>
      </c>
      <c r="W129">
        <v>2.9103293245045458E-3</v>
      </c>
    </row>
    <row r="130" spans="19:23">
      <c r="S130">
        <v>4.2543679941519461E-2</v>
      </c>
      <c r="T130">
        <v>-0.1294614172529068</v>
      </c>
      <c r="U130">
        <v>-1.7383547462277466E-2</v>
      </c>
      <c r="V130">
        <v>9.1572440330350176E-3</v>
      </c>
      <c r="W130">
        <v>2.6940504064927023E-3</v>
      </c>
    </row>
    <row r="131" spans="19:23">
      <c r="S131">
        <v>2.4980314669340897</v>
      </c>
      <c r="T131">
        <v>-0.58130855513141511</v>
      </c>
      <c r="U131">
        <v>0.38334458236053504</v>
      </c>
      <c r="V131">
        <v>0.35145237783485661</v>
      </c>
      <c r="W131">
        <v>-1.0588197474872361</v>
      </c>
    </row>
    <row r="132" spans="19:23">
      <c r="S132">
        <v>1.0312609096189629</v>
      </c>
      <c r="T132">
        <v>-0.45936059420665254</v>
      </c>
      <c r="U132">
        <v>0.11438006308246212</v>
      </c>
      <c r="V132">
        <v>0.21881558544409532</v>
      </c>
      <c r="W132">
        <v>-0.19548941394278033</v>
      </c>
    </row>
    <row r="133" spans="19:23">
      <c r="S133">
        <v>0.5891455034058557</v>
      </c>
      <c r="T133">
        <v>-0.38020605994111206</v>
      </c>
      <c r="U133">
        <v>4.1787888692948742E-2</v>
      </c>
      <c r="V133">
        <v>0.13600577014319182</v>
      </c>
      <c r="W133">
        <v>-5.7897640907763052E-2</v>
      </c>
    </row>
    <row r="134" spans="19:23">
      <c r="S134">
        <v>0.39104269397545577</v>
      </c>
      <c r="T134">
        <v>-0.32667489095883429</v>
      </c>
      <c r="U134">
        <v>1.2873560603324332E-2</v>
      </c>
      <c r="V134">
        <v>9.2514531735019709E-2</v>
      </c>
      <c r="W134">
        <v>-1.9819277662590722E-2</v>
      </c>
    </row>
    <row r="135" spans="19:23">
      <c r="S135">
        <v>0.2829022463759806</v>
      </c>
      <c r="T135">
        <v>-0.28779549794797371</v>
      </c>
      <c r="U135">
        <v>-9.7865031439861648E-4</v>
      </c>
      <c r="V135">
        <v>6.7135004574603654E-2</v>
      </c>
      <c r="W135">
        <v>-6.1724667140072098E-3</v>
      </c>
    </row>
    <row r="136" spans="19:23">
      <c r="S136">
        <v>0.21643402147026214</v>
      </c>
      <c r="T136">
        <v>-0.25803921074836417</v>
      </c>
      <c r="U136">
        <v>-8.3210378556203852E-3</v>
      </c>
      <c r="V136">
        <v>5.1001404319973041E-2</v>
      </c>
      <c r="W136">
        <v>-5.733237603028885E-4</v>
      </c>
    </row>
    <row r="137" spans="19:23">
      <c r="S137">
        <v>0.1722038205002375</v>
      </c>
      <c r="T137">
        <v>-0.23437850737450949</v>
      </c>
      <c r="U137">
        <v>-1.2434937374854398E-2</v>
      </c>
      <c r="V137">
        <v>4.0071956734373533E-2</v>
      </c>
      <c r="W137">
        <v>1.8712836278050066E-3</v>
      </c>
    </row>
    <row r="138" spans="19:23">
      <c r="S138">
        <v>0.14104739588693907</v>
      </c>
      <c r="T138">
        <v>-0.21501601324440206</v>
      </c>
      <c r="U138">
        <v>-1.4793723471492586E-2</v>
      </c>
      <c r="V138">
        <v>3.2303104277436247E-2</v>
      </c>
      <c r="W138">
        <v>2.934435958313776E-3</v>
      </c>
    </row>
    <row r="139" spans="19:23">
      <c r="S139">
        <v>0.11813946884591912</v>
      </c>
      <c r="T139">
        <v>-0.19881329639811252</v>
      </c>
      <c r="U139">
        <v>-1.6134765510438655E-2</v>
      </c>
      <c r="V139">
        <v>2.6570446262382977E-2</v>
      </c>
      <c r="W139">
        <v>3.3480151289667333E-3</v>
      </c>
    </row>
    <row r="140" spans="19:23">
      <c r="S140">
        <v>0.10072365199514675</v>
      </c>
      <c r="T140">
        <v>-0.18501128943043477</v>
      </c>
      <c r="U140">
        <v>-1.6857527487057596E-2</v>
      </c>
      <c r="V140">
        <v>2.221230210935576E-2</v>
      </c>
      <c r="W140">
        <v>3.4432817940792948E-3</v>
      </c>
    </row>
    <row r="141" spans="19:23">
      <c r="S141">
        <v>8.7123309799074747E-2</v>
      </c>
      <c r="T141">
        <v>-0.17308252487316134</v>
      </c>
      <c r="U141">
        <v>-1.7191843014817302E-2</v>
      </c>
      <c r="V141">
        <v>1.881767690025473E-2</v>
      </c>
      <c r="W141">
        <v>3.3804808278765012E-3</v>
      </c>
    </row>
    <row r="142" spans="19:23">
      <c r="S142">
        <v>7.6266336834722448E-2</v>
      </c>
      <c r="T142">
        <v>-0.16264786688852997</v>
      </c>
      <c r="U142">
        <v>-1.7276306010761491E-2</v>
      </c>
      <c r="V142">
        <v>1.6119765252093136E-2</v>
      </c>
      <c r="W142">
        <v>3.240901125270786E-3</v>
      </c>
    </row>
    <row r="143" spans="19:23">
      <c r="S143">
        <v>6.7438688504105754E-2</v>
      </c>
      <c r="T143">
        <v>-0.15342702473337574</v>
      </c>
      <c r="U143">
        <v>-1.7197667245854004E-2</v>
      </c>
      <c r="V143">
        <v>1.3938897819194915E-2</v>
      </c>
      <c r="W143">
        <v>3.0671114097139793E-3</v>
      </c>
    </row>
    <row r="144" spans="19:23">
      <c r="S144">
        <v>6.0148418542348515E-2</v>
      </c>
      <c r="T144">
        <v>-0.14520780502115535</v>
      </c>
      <c r="U144">
        <v>-1.7011877295761355E-2</v>
      </c>
      <c r="V144">
        <v>1.2150287049654989E-2</v>
      </c>
      <c r="W144">
        <v>2.8817843083714925E-3</v>
      </c>
    </row>
    <row r="145" spans="19:23">
      <c r="S145">
        <v>5.4046762955169629E-2</v>
      </c>
      <c r="T145">
        <v>-0.13782627460088087</v>
      </c>
      <c r="U145">
        <v>-1.6755902329142237E-2</v>
      </c>
      <c r="V145">
        <v>1.0664946727212209E-2</v>
      </c>
      <c r="W145">
        <v>2.6969973428590576E-3</v>
      </c>
    </row>
    <row r="146" spans="19:23">
      <c r="S146">
        <v>4.8880336746931971E-2</v>
      </c>
      <c r="T146">
        <v>-0.13115354397110632</v>
      </c>
      <c r="U146">
        <v>-1.6454641444834862E-2</v>
      </c>
      <c r="V146">
        <v>9.4179592652353424E-3</v>
      </c>
      <c r="W146">
        <v>2.5190362307571852E-3</v>
      </c>
    </row>
    <row r="147" spans="19:23">
      <c r="S147">
        <v>2.6072239748533441</v>
      </c>
      <c r="T147">
        <v>-0.54139414057151758</v>
      </c>
      <c r="U147">
        <v>0.41316596685636547</v>
      </c>
      <c r="V147">
        <v>0.24486046291770319</v>
      </c>
      <c r="W147">
        <v>-1.0657610024426438</v>
      </c>
    </row>
    <row r="148" spans="19:23">
      <c r="S148">
        <v>1.1230691761626856</v>
      </c>
      <c r="T148">
        <v>-0.44686217128178873</v>
      </c>
      <c r="U148">
        <v>0.13524140097617943</v>
      </c>
      <c r="V148">
        <v>0.19800436590000028</v>
      </c>
      <c r="W148">
        <v>-0.21989049924558948</v>
      </c>
    </row>
    <row r="149" spans="19:23">
      <c r="S149">
        <v>0.6507482730659182</v>
      </c>
      <c r="T149">
        <v>-0.37535741424427077</v>
      </c>
      <c r="U149">
        <v>5.5078171764329505E-2</v>
      </c>
      <c r="V149">
        <v>0.12959643077821098</v>
      </c>
      <c r="W149">
        <v>-7.0102236803417761E-2</v>
      </c>
    </row>
    <row r="150" spans="19:23">
      <c r="S150">
        <v>0.4350016314032053</v>
      </c>
      <c r="T150">
        <v>-0.32492854862880699</v>
      </c>
      <c r="U150">
        <v>2.2014616554879692E-2</v>
      </c>
      <c r="V150">
        <v>9.0194911726608082E-2</v>
      </c>
      <c r="W150">
        <v>-2.6518476426881703E-2</v>
      </c>
    </row>
    <row r="151" spans="19:23">
      <c r="S151">
        <v>0.31604495131357757</v>
      </c>
      <c r="T151">
        <v>-0.28755888627596116</v>
      </c>
      <c r="U151">
        <v>5.6972130075232932E-3</v>
      </c>
      <c r="V151">
        <v>6.6314934783504642E-2</v>
      </c>
      <c r="W151">
        <v>-1.0211427382643554E-2</v>
      </c>
    </row>
    <row r="152" spans="19:23">
      <c r="S152">
        <v>0.24247585035937502</v>
      </c>
      <c r="T152">
        <v>-0.25861651233000477</v>
      </c>
      <c r="U152">
        <v>-3.2281323941259323E-3</v>
      </c>
      <c r="V152">
        <v>5.0813137319664407E-2</v>
      </c>
      <c r="W152">
        <v>-3.1870151864082704E-3</v>
      </c>
    </row>
    <row r="153" spans="19:23">
      <c r="S153">
        <v>0.19331460832175176</v>
      </c>
      <c r="T153">
        <v>-0.23542140379338408</v>
      </c>
      <c r="U153">
        <v>-8.4213590943264457E-3</v>
      </c>
      <c r="V153">
        <v>4.016987512571716E-2</v>
      </c>
      <c r="W153">
        <v>8.7473393268789869E-5</v>
      </c>
    </row>
    <row r="154" spans="19:23">
      <c r="S154">
        <v>0.15857917740797731</v>
      </c>
      <c r="T154">
        <v>-0.21633343373803454</v>
      </c>
      <c r="U154">
        <v>-1.1550851266011443E-2</v>
      </c>
      <c r="V154">
        <v>3.2533199005050494E-2</v>
      </c>
      <c r="W154">
        <v>1.6661205350603507E-3</v>
      </c>
    </row>
    <row r="155" spans="19:23">
      <c r="S155">
        <v>0.13298076013381091</v>
      </c>
      <c r="T155">
        <v>-0.20029340137548621</v>
      </c>
      <c r="U155">
        <v>-1.346252824833505E-2</v>
      </c>
      <c r="V155">
        <v>2.6858774380068749E-2</v>
      </c>
      <c r="W155">
        <v>2.416626873040176E-3</v>
      </c>
    </row>
    <row r="156" spans="19:23">
      <c r="S156">
        <v>0.11348420719941706</v>
      </c>
      <c r="T156">
        <v>-0.18658543588343063</v>
      </c>
      <c r="U156">
        <v>-1.4620245736802715E-2</v>
      </c>
      <c r="V156">
        <v>2.252163197801986E-2</v>
      </c>
      <c r="W156">
        <v>2.7412861899792514E-3</v>
      </c>
    </row>
    <row r="157" spans="19:23">
      <c r="S157">
        <v>9.8236735313007736E-2</v>
      </c>
      <c r="T157">
        <v>-0.17470707975067867</v>
      </c>
      <c r="U157">
        <v>-1.5294068887534183E-2</v>
      </c>
      <c r="V157">
        <v>1.9128796339653305E-2</v>
      </c>
      <c r="W157">
        <v>2.8399640030082112E-3</v>
      </c>
    </row>
    <row r="158" spans="19:23">
      <c r="S158">
        <v>8.6050243158207848E-2</v>
      </c>
      <c r="T158">
        <v>-0.16429437603008581</v>
      </c>
      <c r="U158">
        <v>-1.5648826574375579E-2</v>
      </c>
      <c r="V158">
        <v>1.642276215829545E-2</v>
      </c>
      <c r="W158">
        <v>2.8172518056193778E-3</v>
      </c>
    </row>
    <row r="159" spans="19:23">
      <c r="S159">
        <v>7.6131601445607183E-2</v>
      </c>
      <c r="T159">
        <v>-0.15507659970672655</v>
      </c>
      <c r="U159">
        <v>-1.5788999652223877E-2</v>
      </c>
      <c r="V159">
        <v>1.4228835886876803E-2</v>
      </c>
      <c r="W159">
        <v>2.7300431388860495E-3</v>
      </c>
    </row>
    <row r="160" spans="19:23">
      <c r="S160">
        <v>6.7933328247960334E-2</v>
      </c>
      <c r="T160">
        <v>-0.14684777222802731</v>
      </c>
      <c r="U160">
        <v>-1.5782888796013389E-2</v>
      </c>
      <c r="V160">
        <v>1.2424955465924733E-2</v>
      </c>
      <c r="W160">
        <v>2.6101517036191133E-3</v>
      </c>
    </row>
    <row r="161" spans="19:23">
      <c r="S161">
        <v>6.1066657988388534E-2</v>
      </c>
      <c r="T161">
        <v>-0.13944809972640376</v>
      </c>
      <c r="U161">
        <v>-1.5676288347603033E-2</v>
      </c>
      <c r="V161">
        <v>1.0923644036250617E-2</v>
      </c>
      <c r="W161">
        <v>2.4756775066436909E-3</v>
      </c>
    </row>
    <row r="162" spans="19:23">
      <c r="S162">
        <v>5.5248751328537703E-2</v>
      </c>
      <c r="T162">
        <v>-0.13275150598044069</v>
      </c>
      <c r="U162">
        <v>-1.5500550930380597E-2</v>
      </c>
      <c r="V162">
        <v>9.6608166832791876E-3</v>
      </c>
      <c r="W162">
        <v>2.3369851334997505E-3</v>
      </c>
    </row>
    <row r="163" spans="19:23">
      <c r="S163">
        <v>2.6608524989875475</v>
      </c>
      <c r="T163">
        <v>-0.49902991959178233</v>
      </c>
      <c r="U163">
        <v>0.4323645158791532</v>
      </c>
      <c r="V163">
        <v>0.13968995315558147</v>
      </c>
      <c r="W163">
        <v>-1.0310813039659268</v>
      </c>
    </row>
    <row r="164" spans="19:23">
      <c r="S164">
        <v>1.2019266235491344</v>
      </c>
      <c r="T164">
        <v>-0.43238552309298456</v>
      </c>
      <c r="U164">
        <v>0.15390822009123004</v>
      </c>
      <c r="V164">
        <v>0.17501283884414215</v>
      </c>
      <c r="W164">
        <v>-0.23903670240037433</v>
      </c>
    </row>
    <row r="165" spans="19:23">
      <c r="S165">
        <v>0.70755597224553146</v>
      </c>
      <c r="T165">
        <v>-0.36921377284783663</v>
      </c>
      <c r="U165">
        <v>6.7668439879539008E-2</v>
      </c>
      <c r="V165">
        <v>0.12202560372022264</v>
      </c>
      <c r="W165">
        <v>-8.1099336450789192E-2</v>
      </c>
    </row>
    <row r="166" spans="19:23">
      <c r="S166">
        <v>0.47673476932565506</v>
      </c>
      <c r="T166">
        <v>-0.32228080102057033</v>
      </c>
      <c r="U166">
        <v>3.0890793661016984E-2</v>
      </c>
      <c r="V166">
        <v>8.7223069517564755E-2</v>
      </c>
      <c r="W166">
        <v>-3.2850904260343643E-2</v>
      </c>
    </row>
    <row r="167" spans="19:23">
      <c r="S167">
        <v>0.34801478695451715</v>
      </c>
      <c r="T167">
        <v>-0.28665945707689922</v>
      </c>
      <c r="U167">
        <v>1.2271065975523604E-2</v>
      </c>
      <c r="V167">
        <v>6.5096874846917813E-2</v>
      </c>
      <c r="W167">
        <v>-1.4125778413068779E-2</v>
      </c>
    </row>
    <row r="168" spans="19:23">
      <c r="S168">
        <v>0.26785058371787113</v>
      </c>
      <c r="T168">
        <v>-0.25868589888447296</v>
      </c>
      <c r="U168">
        <v>1.8329369666796388E-3</v>
      </c>
      <c r="V168">
        <v>5.036536302067187E-2</v>
      </c>
      <c r="W168">
        <v>-5.7598730111886806E-3</v>
      </c>
    </row>
    <row r="169" spans="19:23">
      <c r="S169">
        <v>0.21402825601521905</v>
      </c>
      <c r="T169">
        <v>-0.23606274988945544</v>
      </c>
      <c r="U169">
        <v>-4.4068987748472656E-3</v>
      </c>
      <c r="V169">
        <v>4.0089743539372481E-2</v>
      </c>
      <c r="W169">
        <v>-1.6875775138768694E-3</v>
      </c>
    </row>
    <row r="170" spans="19:23">
      <c r="S170">
        <v>0.1758690222540655</v>
      </c>
      <c r="T170">
        <v>-0.21732562819073689</v>
      </c>
      <c r="U170">
        <v>-8.29132118733426E-3</v>
      </c>
      <c r="V170">
        <v>3.2636195102075924E-2</v>
      </c>
      <c r="W170">
        <v>3.9380686930465329E-4</v>
      </c>
    </row>
    <row r="171" spans="19:23">
      <c r="S171">
        <v>0.14767433605739891</v>
      </c>
      <c r="T171">
        <v>-0.20150499665353111</v>
      </c>
      <c r="U171">
        <v>-1.0766132119226425E-2</v>
      </c>
      <c r="V171">
        <v>2.7053475596395832E-2</v>
      </c>
      <c r="W171">
        <v>1.4763591043178497E-3</v>
      </c>
    </row>
    <row r="172" spans="19:23">
      <c r="S172">
        <v>0.126156626101008</v>
      </c>
      <c r="T172">
        <v>-0.18793442498879984</v>
      </c>
      <c r="U172">
        <v>-1.2355559777558357E-2</v>
      </c>
      <c r="V172">
        <v>2.2760213264689931E-2</v>
      </c>
      <c r="W172">
        <v>2.0289101309178266E-3</v>
      </c>
    </row>
    <row r="173" spans="19:23">
      <c r="S173">
        <v>0.10930087319429281</v>
      </c>
      <c r="T173">
        <v>-0.17614039216950614</v>
      </c>
      <c r="U173">
        <v>-1.3367903795042657E-2</v>
      </c>
      <c r="V173">
        <v>1.9385322740203298E-2</v>
      </c>
      <c r="W173">
        <v>2.2890402912177942E-3</v>
      </c>
    </row>
    <row r="174" spans="19:23">
      <c r="S174">
        <v>9.5810779298720741E-2</v>
      </c>
      <c r="T174">
        <v>-0.16577669328301656</v>
      </c>
      <c r="U174">
        <v>-1.3993182796859144E-2</v>
      </c>
      <c r="V174">
        <v>1.6682888564701393E-2</v>
      </c>
      <c r="W174">
        <v>2.3837927410252212E-3</v>
      </c>
    </row>
    <row r="175" spans="19:23">
      <c r="S175">
        <v>8.4818719233710788E-2</v>
      </c>
      <c r="T175">
        <v>-0.15658391479916559</v>
      </c>
      <c r="U175">
        <v>-1.4353039113090953E-2</v>
      </c>
      <c r="V175">
        <v>1.4484607035971868E-2</v>
      </c>
      <c r="W175">
        <v>2.3839940044911058E-3</v>
      </c>
    </row>
    <row r="176" spans="19:23">
      <c r="S176">
        <v>7.5724485202075281E-2</v>
      </c>
      <c r="T176">
        <v>-0.1483635128648626</v>
      </c>
      <c r="U176">
        <v>-1.4527805532557459E-2</v>
      </c>
      <c r="V176">
        <v>1.2672047277915424E-2</v>
      </c>
      <c r="W176">
        <v>2.3304169648346376E-3</v>
      </c>
    </row>
    <row r="177" spans="19:23">
      <c r="S177">
        <v>6.8101088970568435E-2</v>
      </c>
      <c r="T177">
        <v>-0.14096070716553083</v>
      </c>
      <c r="U177">
        <v>-1.4571923638992469E-2</v>
      </c>
      <c r="V177">
        <v>1.1159840326118985E-2</v>
      </c>
      <c r="W177">
        <v>2.2471016405505905E-3</v>
      </c>
    </row>
    <row r="178" spans="19:23">
      <c r="S178">
        <v>6.1637395454357632E-2</v>
      </c>
      <c r="T178">
        <v>-0.13425287527011331</v>
      </c>
      <c r="U178">
        <v>-1.452309596315113E-2</v>
      </c>
      <c r="V178">
        <v>9.8851403641489841E-3</v>
      </c>
      <c r="W178">
        <v>2.1484570789372299E-3</v>
      </c>
    </row>
    <row r="179" spans="19:23">
      <c r="S179">
        <v>2.6616779697105764</v>
      </c>
      <c r="T179">
        <v>-0.45526432134635986</v>
      </c>
      <c r="U179">
        <v>0.44128272967284343</v>
      </c>
      <c r="V179">
        <v>3.9862401030739902E-2</v>
      </c>
      <c r="W179">
        <v>-0.95991041787042397</v>
      </c>
    </row>
    <row r="180" spans="19:23">
      <c r="S180">
        <v>1.2671065178918024</v>
      </c>
      <c r="T180">
        <v>-0.41616011396462915</v>
      </c>
      <c r="U180">
        <v>0.17018928078543472</v>
      </c>
      <c r="V180">
        <v>0.15038127279987973</v>
      </c>
      <c r="W180">
        <v>-0.2526612861823358</v>
      </c>
    </row>
    <row r="181" spans="19:23">
      <c r="S181">
        <v>0.75909498835050182</v>
      </c>
      <c r="T181">
        <v>-0.36185073666145795</v>
      </c>
      <c r="U181">
        <v>7.9448850337808782E-2</v>
      </c>
      <c r="V181">
        <v>0.11342197463138382</v>
      </c>
      <c r="W181">
        <v>-9.0735131009891209E-2</v>
      </c>
    </row>
    <row r="182" spans="19:23">
      <c r="S182">
        <v>0.51595547701078959</v>
      </c>
      <c r="T182">
        <v>-0.31876133285464947</v>
      </c>
      <c r="U182">
        <v>3.9438828831228026E-2</v>
      </c>
      <c r="V182">
        <v>8.3639410800102426E-2</v>
      </c>
      <c r="W182">
        <v>-3.8743194749059955E-2</v>
      </c>
    </row>
    <row r="183" spans="19:23">
      <c r="S183">
        <v>0.37862836242350384</v>
      </c>
      <c r="T183">
        <v>-0.28510937896262467</v>
      </c>
      <c r="U183">
        <v>1.8703796692175846E-2</v>
      </c>
      <c r="V183">
        <v>6.349519908090813E-2</v>
      </c>
      <c r="W183">
        <v>-1.7877609902731736E-2</v>
      </c>
    </row>
    <row r="184" spans="19:23">
      <c r="S184">
        <v>0.29243414072363644</v>
      </c>
      <c r="T184">
        <v>-0.25825184385869981</v>
      </c>
      <c r="U184">
        <v>6.8364593729873255E-3</v>
      </c>
      <c r="V184">
        <v>4.9663233297137406E-2</v>
      </c>
      <c r="W184">
        <v>-8.2706401305665603E-3</v>
      </c>
    </row>
    <row r="185" spans="19:23">
      <c r="S185">
        <v>0.23425686419848815</v>
      </c>
      <c r="T185">
        <v>-0.23630334571560835</v>
      </c>
      <c r="U185">
        <v>-4.0929630342402301E-4</v>
      </c>
      <c r="V185">
        <v>3.983307656118746E-2</v>
      </c>
      <c r="W185">
        <v>-3.4411289762261797E-3</v>
      </c>
    </row>
    <row r="186" spans="19:23">
      <c r="S186">
        <v>0.1928523183412805</v>
      </c>
      <c r="T186">
        <v>-0.2179915666389261</v>
      </c>
      <c r="U186">
        <v>-5.0278496595291119E-3</v>
      </c>
      <c r="V186">
        <v>3.2612095560767385E-2</v>
      </c>
      <c r="W186">
        <v>-8.7445347286250834E-4</v>
      </c>
    </row>
    <row r="187" spans="19:23">
      <c r="S187">
        <v>0.16217125886864719</v>
      </c>
      <c r="T187">
        <v>-0.20244613573913198</v>
      </c>
      <c r="U187">
        <v>-8.0549753740969451E-3</v>
      </c>
      <c r="V187">
        <v>2.7153927205316421E-2</v>
      </c>
      <c r="W187">
        <v>5.3252178374226032E-4</v>
      </c>
    </row>
    <row r="188" spans="19:23">
      <c r="S188">
        <v>0.1387029199103986</v>
      </c>
      <c r="T188">
        <v>-0.18905587164818191</v>
      </c>
      <c r="U188">
        <v>-1.0070590347556654E-2</v>
      </c>
      <c r="V188">
        <v>2.2927188801649442E-2</v>
      </c>
      <c r="W188">
        <v>1.309779166300493E-3</v>
      </c>
    </row>
    <row r="189" spans="19:23">
      <c r="S189">
        <v>0.12028562337275514</v>
      </c>
      <c r="T189">
        <v>-0.17737989762728879</v>
      </c>
      <c r="U189">
        <v>-1.1418854850906721E-2</v>
      </c>
      <c r="V189">
        <v>1.9586342370319594E-2</v>
      </c>
      <c r="W189">
        <v>1.7302571400138246E-3</v>
      </c>
    </row>
    <row r="190" spans="19:23">
      <c r="S190">
        <v>0.10552367942183498</v>
      </c>
      <c r="T190">
        <v>-0.16709221812485719</v>
      </c>
      <c r="U190">
        <v>-1.2313707740604423E-2</v>
      </c>
      <c r="V190">
        <v>1.6899254782158236E-2</v>
      </c>
      <c r="W190">
        <v>1.9423572982470779E-3</v>
      </c>
    </row>
    <row r="191" spans="19:23">
      <c r="S191">
        <v>9.3480188004773007E-2</v>
      </c>
      <c r="T191">
        <v>-0.15794641299195283</v>
      </c>
      <c r="U191">
        <v>-1.2893244997435969E-2</v>
      </c>
      <c r="V191">
        <v>1.4705380167269438E-2</v>
      </c>
      <c r="W191">
        <v>2.0303104793159381E-3</v>
      </c>
    </row>
    <row r="192" spans="19:23">
      <c r="S192">
        <v>8.3505436576561148E-2</v>
      </c>
      <c r="T192">
        <v>-0.14975255664718237</v>
      </c>
      <c r="U192">
        <v>-1.3249424014124239E-2</v>
      </c>
      <c r="V192">
        <v>1.2890802289929972E-2</v>
      </c>
      <c r="W192">
        <v>2.0435862299573782E-3</v>
      </c>
    </row>
    <row r="193" spans="19:23">
      <c r="S193">
        <v>7.5136268898971931E-2</v>
      </c>
      <c r="T193">
        <v>-0.14236173552856532</v>
      </c>
      <c r="U193">
        <v>-1.3445093325918662E-2</v>
      </c>
      <c r="V193">
        <v>1.1372847902090524E-2</v>
      </c>
      <c r="W193">
        <v>2.0120328315541419E-3</v>
      </c>
    </row>
    <row r="194" spans="19:23">
      <c r="S194">
        <v>6.8034602443628814E-2</v>
      </c>
      <c r="T194">
        <v>-0.13565540911891355</v>
      </c>
      <c r="U194">
        <v>-1.3524161335056937E-2</v>
      </c>
      <c r="V194">
        <v>1.0090311715284709E-2</v>
      </c>
      <c r="W194">
        <v>1.954038303115318E-3</v>
      </c>
    </row>
    <row r="195" spans="19:23">
      <c r="S195">
        <v>2.6142261243906058</v>
      </c>
      <c r="T195">
        <v>-0.41109284730906964</v>
      </c>
      <c r="U195">
        <v>0.44062665541630736</v>
      </c>
      <c r="V195">
        <v>-5.1300062217570788E-2</v>
      </c>
      <c r="W195">
        <v>-0.85901209416233004</v>
      </c>
    </row>
    <row r="196" spans="19:23">
      <c r="S196">
        <v>1.3181738684031667</v>
      </c>
      <c r="T196">
        <v>-0.39843179361084724</v>
      </c>
      <c r="U196">
        <v>0.18394841495846398</v>
      </c>
      <c r="V196">
        <v>0.12466794088523729</v>
      </c>
      <c r="W196">
        <v>-0.26067074997697215</v>
      </c>
    </row>
    <row r="197" spans="19:23">
      <c r="S197">
        <v>0.80496996210194671</v>
      </c>
      <c r="T197">
        <v>-0.35335422305223851</v>
      </c>
      <c r="U197">
        <v>9.0323147809941648E-2</v>
      </c>
      <c r="V197">
        <v>0.10392809218619597</v>
      </c>
      <c r="W197">
        <v>-9.8886582595250253E-2</v>
      </c>
    </row>
    <row r="198" spans="19:23">
      <c r="S198">
        <v>0.55240521045498492</v>
      </c>
      <c r="T198">
        <v>-0.31440594121529425</v>
      </c>
      <c r="U198">
        <v>4.7599853847938134E-2</v>
      </c>
      <c r="V198">
        <v>7.949129742721904E-2</v>
      </c>
      <c r="W198">
        <v>-4.4129773383997872E-2</v>
      </c>
    </row>
    <row r="199" spans="19:23">
      <c r="S199">
        <v>0.40771423594576606</v>
      </c>
      <c r="T199">
        <v>-0.2829246536382764</v>
      </c>
      <c r="U199">
        <v>2.4957916461497944E-2</v>
      </c>
      <c r="V199">
        <v>6.1527957343445815E-2</v>
      </c>
      <c r="W199">
        <v>-2.1431402508369831E-2</v>
      </c>
    </row>
    <row r="200" spans="19:23">
      <c r="S200">
        <v>0.31610808357118031</v>
      </c>
      <c r="T200">
        <v>-0.25732136251308246</v>
      </c>
      <c r="U200">
        <v>1.1757344211619575E-2</v>
      </c>
      <c r="V200">
        <v>4.8713987766097026E-2</v>
      </c>
      <c r="W200">
        <v>-1.0698858517716934E-2</v>
      </c>
    </row>
    <row r="201" spans="19:23">
      <c r="S201">
        <v>0.25391537167659634</v>
      </c>
      <c r="T201">
        <v>-0.23614575562643533</v>
      </c>
      <c r="U201">
        <v>3.5539232100322104E-3</v>
      </c>
      <c r="V201">
        <v>3.9402650802249695E-2</v>
      </c>
      <c r="W201">
        <v>-5.1607015140963395E-3</v>
      </c>
    </row>
    <row r="202" spans="19:23">
      <c r="S202">
        <v>0.20946592627292565</v>
      </c>
      <c r="T202">
        <v>-0.21833148940631683</v>
      </c>
      <c r="U202">
        <v>-1.7731126266782313E-3</v>
      </c>
      <c r="V202">
        <v>3.2461705924089368E-2</v>
      </c>
      <c r="W202">
        <v>-2.1306727800842282E-3</v>
      </c>
    </row>
    <row r="203" spans="19:23">
      <c r="S203">
        <v>0.17642335443422746</v>
      </c>
      <c r="T203">
        <v>-0.20311581419189217</v>
      </c>
      <c r="U203">
        <v>-5.3384919515329322E-3</v>
      </c>
      <c r="V203">
        <v>2.7160038319169813E-2</v>
      </c>
      <c r="W203">
        <v>-4.0956562743267919E-4</v>
      </c>
    </row>
    <row r="204" spans="19:23">
      <c r="S204">
        <v>0.15108547799272012</v>
      </c>
      <c r="T204">
        <v>-0.1899481065168358</v>
      </c>
      <c r="U204">
        <v>-7.7725257048231371E-3</v>
      </c>
      <c r="V204">
        <v>2.3022065945851187E-2</v>
      </c>
      <c r="W204">
        <v>5.8755394760378428E-4</v>
      </c>
    </row>
    <row r="205" spans="19:23">
      <c r="S205">
        <v>0.13116104783315138</v>
      </c>
      <c r="T205">
        <v>-0.17842358647517206</v>
      </c>
      <c r="U205">
        <v>-9.4525077284041362E-3</v>
      </c>
      <c r="V205">
        <v>1.9731198460753829E-2</v>
      </c>
      <c r="W205">
        <v>1.1662035984089851E-3</v>
      </c>
    </row>
    <row r="206" spans="19:23">
      <c r="S206">
        <v>0.11516471649044516</v>
      </c>
      <c r="T206">
        <v>-0.16823878748044199</v>
      </c>
      <c r="U206">
        <v>-1.0614814197999351E-2</v>
      </c>
      <c r="V206">
        <v>1.7071156575474325E-2</v>
      </c>
      <c r="W206">
        <v>1.4948193735874456E-3</v>
      </c>
    </row>
    <row r="207" spans="19:23">
      <c r="S207">
        <v>0.10209612219495233</v>
      </c>
      <c r="T207">
        <v>-0.15916188713270885</v>
      </c>
      <c r="U207">
        <v>-1.1413152987551307E-2</v>
      </c>
      <c r="V207">
        <v>1.4890460725538136E-2</v>
      </c>
      <c r="W207">
        <v>1.670375739715083E-3</v>
      </c>
    </row>
    <row r="208" spans="19:23">
      <c r="S208">
        <v>9.1259658160278201E-2</v>
      </c>
      <c r="T208">
        <v>-0.15101271657326581</v>
      </c>
      <c r="U208">
        <v>-1.1950611682597522E-2</v>
      </c>
      <c r="V208">
        <v>1.3080562570651469E-2</v>
      </c>
      <c r="W208">
        <v>1.7506977966103767E-3</v>
      </c>
    </row>
    <row r="209" spans="19:23">
      <c r="S209">
        <v>8.2158318061674257E-2</v>
      </c>
      <c r="T209">
        <v>-0.14364905524816321</v>
      </c>
      <c r="U209">
        <v>-1.229814743729778E-2</v>
      </c>
      <c r="V209">
        <v>1.1562056795066184E-2</v>
      </c>
      <c r="W209">
        <v>1.7712619040470101E-3</v>
      </c>
    </row>
    <row r="210" spans="19:23">
      <c r="S210">
        <v>7.4428602651939693E-2</v>
      </c>
      <c r="T210">
        <v>-0.13695705627905683</v>
      </c>
      <c r="U210">
        <v>-1.2505690725423417E-2</v>
      </c>
      <c r="V210">
        <v>1.0275771976831631E-2</v>
      </c>
      <c r="W210">
        <v>1.7543387929814048E-3</v>
      </c>
    </row>
    <row r="211" spans="19:23">
      <c r="S211">
        <v>2.5244187147817678</v>
      </c>
      <c r="T211">
        <v>-0.36742496175464734</v>
      </c>
      <c r="U211">
        <v>0.43139875060542421</v>
      </c>
      <c r="V211">
        <v>-0.13120863146011358</v>
      </c>
      <c r="W211">
        <v>-0.73618594331064835</v>
      </c>
    </row>
    <row r="212" spans="19:23">
      <c r="S212">
        <v>1.3549845518486181</v>
      </c>
      <c r="T212">
        <v>-0.37945722873786214</v>
      </c>
      <c r="U212">
        <v>0.19510546462215128</v>
      </c>
      <c r="V212">
        <v>9.8431954043946571E-2</v>
      </c>
      <c r="W212">
        <v>-0.26314057699438187</v>
      </c>
    </row>
    <row r="213" spans="19:23">
      <c r="S213">
        <v>0.84486850813187842</v>
      </c>
      <c r="T213">
        <v>-0.34381904301692684</v>
      </c>
      <c r="U213">
        <v>0.10020989302299033</v>
      </c>
      <c r="V213">
        <v>9.3697181877633581E-2</v>
      </c>
      <c r="W213">
        <v>-0.10546345541821953</v>
      </c>
    </row>
    <row r="214" spans="19:23">
      <c r="S214">
        <v>0.58585631400017779</v>
      </c>
      <c r="T214">
        <v>-0.30925606262510991</v>
      </c>
      <c r="U214">
        <v>5.5320050275013605E-2</v>
      </c>
      <c r="V214">
        <v>7.4832216540406685E-2</v>
      </c>
      <c r="W214">
        <v>-4.8953860489611124E-2</v>
      </c>
    </row>
    <row r="215" spans="19:23">
      <c r="S215">
        <v>0.4351145085910072</v>
      </c>
      <c r="T215">
        <v>-0.28012493562288293</v>
      </c>
      <c r="U215">
        <v>3.0997914593624876E-2</v>
      </c>
      <c r="V215">
        <v>5.9216612273198473E-2</v>
      </c>
      <c r="W215">
        <v>-2.4754493566418075E-2</v>
      </c>
    </row>
    <row r="216" spans="19:23">
      <c r="S216">
        <v>0.3387605670881656</v>
      </c>
      <c r="T216">
        <v>-0.25590393960170593</v>
      </c>
      <c r="U216">
        <v>1.6571325497291952E-2</v>
      </c>
      <c r="V216">
        <v>4.7526862188657433E-2</v>
      </c>
      <c r="W216">
        <v>-1.3025100663093822E-2</v>
      </c>
    </row>
    <row r="217" spans="19:23">
      <c r="S217">
        <v>0.2729221511624228</v>
      </c>
      <c r="T217">
        <v>-0.23559428053903347</v>
      </c>
      <c r="U217">
        <v>7.4655741246778809E-3</v>
      </c>
      <c r="V217">
        <v>3.8802472632194253E-2</v>
      </c>
      <c r="W217">
        <v>-6.8341995978888946E-3</v>
      </c>
    </row>
    <row r="218" spans="19:23">
      <c r="S218">
        <v>0.22564857038682209</v>
      </c>
      <c r="T218">
        <v>-0.21834689905673674</v>
      </c>
      <c r="U218">
        <v>1.4603342660170764E-3</v>
      </c>
      <c r="V218">
        <v>3.2186624398263843E-2</v>
      </c>
      <c r="W218">
        <v>-3.3669970187650421E-3</v>
      </c>
    </row>
    <row r="219" spans="19:23">
      <c r="S219">
        <v>0.19038347894502336</v>
      </c>
      <c r="T219">
        <v>-0.20351397053395359</v>
      </c>
      <c r="U219">
        <v>-2.6260983177860383E-3</v>
      </c>
      <c r="V219">
        <v>2.7072248737362411E-2</v>
      </c>
      <c r="W219">
        <v>-1.3446157576374412E-3</v>
      </c>
    </row>
    <row r="220" spans="19:23">
      <c r="S220">
        <v>0.1632672557172053</v>
      </c>
      <c r="T220">
        <v>-0.19061018092821982</v>
      </c>
      <c r="U220">
        <v>-5.4685850422028963E-3</v>
      </c>
      <c r="V220">
        <v>2.3044718798364699E-2</v>
      </c>
      <c r="W220">
        <v>-1.340956091085804E-4</v>
      </c>
    </row>
    <row r="221" spans="19:23">
      <c r="S221">
        <v>0.14189750656323341</v>
      </c>
      <c r="T221">
        <v>-0.17927001048271762</v>
      </c>
      <c r="U221">
        <v>-7.4745007838968444E-3</v>
      </c>
      <c r="V221">
        <v>1.9819494535376254E-2</v>
      </c>
      <c r="W221">
        <v>5.9949369106612619E-4</v>
      </c>
    </row>
    <row r="222" spans="19:23">
      <c r="S222">
        <v>0.12470980295307771</v>
      </c>
      <c r="T222">
        <v>-0.16921468276133528</v>
      </c>
      <c r="U222">
        <v>-8.9009759616514982E-3</v>
      </c>
      <c r="V222">
        <v>1.7198078667323966E-2</v>
      </c>
      <c r="W222">
        <v>1.0430823726560214E-3</v>
      </c>
    </row>
    <row r="223" spans="19:23">
      <c r="S223">
        <v>0.11064668061060755</v>
      </c>
      <c r="T223">
        <v>-0.16022848687821831</v>
      </c>
      <c r="U223">
        <v>-9.9163612535221532E-3</v>
      </c>
      <c r="V223">
        <v>1.5039293997081345E-2</v>
      </c>
      <c r="W223">
        <v>1.3056021746376929E-3</v>
      </c>
    </row>
    <row r="224" spans="19:23">
      <c r="S224">
        <v>9.8970612829122506E-2</v>
      </c>
      <c r="T224">
        <v>-0.15214209550099847</v>
      </c>
      <c r="U224">
        <v>-1.0634296534375191E-2</v>
      </c>
      <c r="V224">
        <v>1.3240775410438159E-2</v>
      </c>
      <c r="W224">
        <v>1.4528169191349561E-3</v>
      </c>
    </row>
    <row r="225" spans="19:23">
      <c r="S225">
        <v>8.9153309660970015E-2</v>
      </c>
      <c r="T225">
        <v>-0.14482077467686422</v>
      </c>
      <c r="U225">
        <v>-1.1133493003178827E-2</v>
      </c>
      <c r="V225">
        <v>1.1726937352455538E-2</v>
      </c>
      <c r="W225">
        <v>1.5256037383059981E-3</v>
      </c>
    </row>
    <row r="226" spans="19:23">
      <c r="S226">
        <v>8.0807559545272842E-2</v>
      </c>
      <c r="T226">
        <v>-0.13815596256191282</v>
      </c>
      <c r="U226">
        <v>-1.1469680603327989E-2</v>
      </c>
      <c r="V226">
        <v>1.0441024465363458E-2</v>
      </c>
      <c r="W226">
        <v>1.5499896392023444E-3</v>
      </c>
    </row>
    <row r="227" spans="19:23">
      <c r="S227">
        <v>2.3991602886693029</v>
      </c>
      <c r="T227">
        <v>-0.32505826416008421</v>
      </c>
      <c r="U227">
        <v>0.41482040490184385</v>
      </c>
      <c r="V227">
        <v>-0.19808040997803508</v>
      </c>
      <c r="W227">
        <v>-0.59964864080784108</v>
      </c>
    </row>
    <row r="228" spans="19:23">
      <c r="S228">
        <v>1.3776760055000021</v>
      </c>
      <c r="T228">
        <v>-0.35949832564030781</v>
      </c>
      <c r="U228">
        <v>0.20363553597193892</v>
      </c>
      <c r="V228">
        <v>7.2216844462959312E-2</v>
      </c>
      <c r="W228">
        <v>-0.26030458877569446</v>
      </c>
    </row>
    <row r="229" spans="19:23">
      <c r="S229">
        <v>0.87856419266817565</v>
      </c>
      <c r="T229">
        <v>-0.33334737171717965</v>
      </c>
      <c r="U229">
        <v>0.10904336419019922</v>
      </c>
      <c r="V229">
        <v>8.2889802423541589E-2</v>
      </c>
      <c r="W229">
        <v>-0.11040942901428234</v>
      </c>
    </row>
    <row r="230" spans="19:23">
      <c r="S230">
        <v>0.61611432183752401</v>
      </c>
      <c r="T230">
        <v>-0.30335823894252706</v>
      </c>
      <c r="U230">
        <v>6.2551216578999452E-2</v>
      </c>
      <c r="V230">
        <v>6.972085891499856E-2</v>
      </c>
      <c r="W230">
        <v>-5.316828113144486E-2</v>
      </c>
    </row>
    <row r="231" spans="19:23">
      <c r="S231">
        <v>0.46068624130767627</v>
      </c>
      <c r="T231">
        <v>-0.27673331787891642</v>
      </c>
      <c r="U231">
        <v>3.6790584685751984E-2</v>
      </c>
      <c r="V231">
        <v>5.6585732436884958E-2</v>
      </c>
      <c r="W231">
        <v>-2.7817491588508252E-2</v>
      </c>
    </row>
    <row r="232" spans="19:23">
      <c r="S232">
        <v>0.36028721694968213</v>
      </c>
      <c r="T232">
        <v>-0.2540114371097828</v>
      </c>
      <c r="U232">
        <v>2.1255155967979882E-2</v>
      </c>
      <c r="V232">
        <v>4.6112974496320951E-2</v>
      </c>
      <c r="W232">
        <v>-1.5231185095606314E-2</v>
      </c>
    </row>
    <row r="233" spans="19:23">
      <c r="S233">
        <v>0.29119957353419135</v>
      </c>
      <c r="T233">
        <v>-0.23465491790629012</v>
      </c>
      <c r="U233">
        <v>1.1308931125580261E-2</v>
      </c>
      <c r="V233">
        <v>3.8037733830745282E-2</v>
      </c>
      <c r="W233">
        <v>-8.4500297173077873E-3</v>
      </c>
    </row>
    <row r="234" spans="19:23">
      <c r="S234">
        <v>0.2413412152048677</v>
      </c>
      <c r="T234">
        <v>-0.21804054442606585</v>
      </c>
      <c r="U234">
        <v>4.6601341557603896E-3</v>
      </c>
      <c r="V234">
        <v>3.1789225060917303E-2</v>
      </c>
      <c r="W234">
        <v>-4.5757739695084891E-3</v>
      </c>
    </row>
    <row r="235" spans="19:23">
      <c r="S235">
        <v>0.20400577871952438</v>
      </c>
      <c r="T235">
        <v>-0.20364148185639908</v>
      </c>
      <c r="U235">
        <v>7.2859372625075491E-5</v>
      </c>
      <c r="V235">
        <v>2.6891523674081399E-2</v>
      </c>
      <c r="W235">
        <v>-2.2674144852717101E-3</v>
      </c>
    </row>
    <row r="236" spans="19:23">
      <c r="S236">
        <v>0.17521195910451248</v>
      </c>
      <c r="T236">
        <v>-0.19104186815328769</v>
      </c>
      <c r="U236">
        <v>-3.1659818097550252E-3</v>
      </c>
      <c r="V236">
        <v>2.2995387837286111E-2</v>
      </c>
      <c r="W236">
        <v>-8.5151617748543962E-4</v>
      </c>
    </row>
    <row r="237" spans="19:23">
      <c r="S237">
        <v>0.1524657921483808</v>
      </c>
      <c r="T237">
        <v>-0.17991828680128175</v>
      </c>
      <c r="U237">
        <v>-5.4904989305801814E-3</v>
      </c>
      <c r="V237">
        <v>1.9851096070116037E-2</v>
      </c>
      <c r="W237">
        <v>3.2749630252626944E-5</v>
      </c>
    </row>
    <row r="238" spans="19:23">
      <c r="S238">
        <v>0.13413509101820903</v>
      </c>
      <c r="T238">
        <v>-0.17001863501661127</v>
      </c>
      <c r="U238">
        <v>-7.1767087996804299E-3</v>
      </c>
      <c r="V238">
        <v>1.7279697129747369E-2</v>
      </c>
      <c r="W238">
        <v>5.8906799648886254E-4</v>
      </c>
    </row>
    <row r="239" spans="19:23">
      <c r="S239">
        <v>0.11911214256077771</v>
      </c>
      <c r="T239">
        <v>-0.16114472423945042</v>
      </c>
      <c r="U239">
        <v>-8.4065163357345367E-3</v>
      </c>
      <c r="V239">
        <v>1.5151467648584981E-2</v>
      </c>
      <c r="W239">
        <v>9.3742371123151493E-4</v>
      </c>
    </row>
    <row r="240" spans="19:23">
      <c r="S240">
        <v>0.10662180931146154</v>
      </c>
      <c r="T240">
        <v>-0.15313909167294376</v>
      </c>
      <c r="U240">
        <v>-9.3034564722964379E-3</v>
      </c>
      <c r="V240">
        <v>1.3370995750035222E-2</v>
      </c>
      <c r="W240">
        <v>1.1510304455575929E-3</v>
      </c>
    </row>
    <row r="241" spans="19:23">
      <c r="S241">
        <v>9.6107315836159821E-2</v>
      </c>
      <c r="T241">
        <v>-0.14587524538177105</v>
      </c>
      <c r="U241">
        <v>-9.9535859091222333E-3</v>
      </c>
      <c r="V241">
        <v>1.1867042453979933E-2</v>
      </c>
      <c r="W241">
        <v>1.275893454206038E-3</v>
      </c>
    </row>
    <row r="242" spans="19:23">
      <c r="S242">
        <v>8.7159606208229601E-2</v>
      </c>
      <c r="T242">
        <v>-0.13925047580319491</v>
      </c>
      <c r="U242">
        <v>-1.0418173918993046E-2</v>
      </c>
      <c r="V242">
        <v>1.0585636547183339E-2</v>
      </c>
      <c r="W242">
        <v>1.34164027741434E-3</v>
      </c>
    </row>
    <row r="243" spans="19:23">
      <c r="S243">
        <v>2.245911984536173</v>
      </c>
      <c r="T243">
        <v>-0.28466066996157474</v>
      </c>
      <c r="U243">
        <v>0.39225026291491966</v>
      </c>
      <c r="V243">
        <v>-0.25095037181565449</v>
      </c>
      <c r="W243">
        <v>-0.45744878089235647</v>
      </c>
    </row>
    <row r="244" spans="19:23">
      <c r="S244">
        <v>1.3866501813122059</v>
      </c>
      <c r="T244">
        <v>-0.33881680745366721</v>
      </c>
      <c r="U244">
        <v>0.20956667477170773</v>
      </c>
      <c r="V244">
        <v>4.6535502225382268E-2</v>
      </c>
      <c r="W244">
        <v>-0.25253867545937847</v>
      </c>
    </row>
    <row r="245" spans="19:23">
      <c r="S245">
        <v>0.90591774603214925</v>
      </c>
      <c r="T245">
        <v>-0.3220471457367361</v>
      </c>
      <c r="U245">
        <v>0.11677412005908268</v>
      </c>
      <c r="V245">
        <v>7.1670437133531162E-2</v>
      </c>
      <c r="W245">
        <v>-0.11370228734583759</v>
      </c>
    </row>
    <row r="246" spans="19:23">
      <c r="S246">
        <v>0.64301972816134467</v>
      </c>
      <c r="T246">
        <v>-0.29676353128191646</v>
      </c>
      <c r="U246">
        <v>6.9251239375885662E-2</v>
      </c>
      <c r="V246">
        <v>6.4220126581149131E-2</v>
      </c>
      <c r="W246">
        <v>-5.6736067768562333E-2</v>
      </c>
    </row>
    <row r="247" spans="19:23">
      <c r="S247">
        <v>0.48430267761460855</v>
      </c>
      <c r="T247">
        <v>-0.27277608641474538</v>
      </c>
      <c r="U247">
        <v>4.2305318239972634E-2</v>
      </c>
      <c r="V247">
        <v>5.366264689202465E-2</v>
      </c>
      <c r="W247">
        <v>-3.0594632444708336E-2</v>
      </c>
    </row>
    <row r="248" spans="19:23">
      <c r="S248">
        <v>0.38059192686523485</v>
      </c>
      <c r="T248">
        <v>-0.25165798318659088</v>
      </c>
      <c r="U248">
        <v>2.5786788735728806E-2</v>
      </c>
      <c r="V248">
        <v>4.4485190189886691E-2</v>
      </c>
      <c r="W248">
        <v>-1.7300372927913001E-2</v>
      </c>
    </row>
    <row r="249" spans="19:23">
      <c r="S249">
        <v>0.30867453517549914</v>
      </c>
      <c r="T249">
        <v>-0.2333353098456426</v>
      </c>
      <c r="U249">
        <v>1.5067845065971301E-2</v>
      </c>
      <c r="V249">
        <v>3.7114755756392254E-2</v>
      </c>
      <c r="W249">
        <v>-9.997211731823193E-3</v>
      </c>
    </row>
    <row r="250" spans="19:23">
      <c r="S250">
        <v>0.25648742404894675</v>
      </c>
      <c r="T250">
        <v>-0.21741639690104661</v>
      </c>
      <c r="U250">
        <v>7.8142054295800342E-3</v>
      </c>
      <c r="V250">
        <v>3.1272634371585659E-2</v>
      </c>
      <c r="W250">
        <v>-5.7496189199736751E-3</v>
      </c>
    </row>
    <row r="251" spans="19:23">
      <c r="S251">
        <v>0.2172459410974755</v>
      </c>
      <c r="T251">
        <v>-0.20350015417490613</v>
      </c>
      <c r="U251">
        <v>2.7491573845138842E-3</v>
      </c>
      <c r="V251">
        <v>2.6619344408599838E-2</v>
      </c>
      <c r="W251">
        <v>-3.1728612589812947E-3</v>
      </c>
    </row>
    <row r="252" spans="19:23">
      <c r="S252">
        <v>0.18688422498384372</v>
      </c>
      <c r="T252">
        <v>-0.19124366099816159</v>
      </c>
      <c r="U252">
        <v>-8.7188720286356743E-4</v>
      </c>
      <c r="V252">
        <v>2.2874676974101348E-2</v>
      </c>
      <c r="W252">
        <v>-1.5610966588159333E-3</v>
      </c>
    </row>
    <row r="253" spans="19:23">
      <c r="S253">
        <v>0.162837262157394</v>
      </c>
      <c r="T253">
        <v>-0.18036809930927455</v>
      </c>
      <c r="U253">
        <v>-3.5061674303760951E-3</v>
      </c>
      <c r="V253">
        <v>1.9826130470735667E-2</v>
      </c>
      <c r="W253">
        <v>-5.3141499639203389E-4</v>
      </c>
    </row>
    <row r="254" spans="19:23">
      <c r="S254">
        <v>0.14341707193034642</v>
      </c>
      <c r="T254">
        <v>-0.17064982817107988</v>
      </c>
      <c r="U254">
        <v>-5.446551248146682E-3</v>
      </c>
      <c r="V254">
        <v>1.7315880648098456E-2</v>
      </c>
      <c r="W254">
        <v>1.3470491856956715E-4</v>
      </c>
    </row>
    <row r="255" spans="19:23">
      <c r="S255">
        <v>0.12747298364287227</v>
      </c>
      <c r="T255">
        <v>-0.16190947770342126</v>
      </c>
      <c r="U255">
        <v>-6.8872988121098004E-3</v>
      </c>
      <c r="V255">
        <v>1.5226713491572685E-2</v>
      </c>
      <c r="W255">
        <v>5.6728801037735977E-4</v>
      </c>
    </row>
    <row r="256" spans="19:23">
      <c r="S256">
        <v>0.1141968609566798</v>
      </c>
      <c r="T256">
        <v>-0.15400240316536376</v>
      </c>
      <c r="U256">
        <v>-7.9611084417367823E-3</v>
      </c>
      <c r="V256">
        <v>1.3470888066414697E-2</v>
      </c>
      <c r="W256">
        <v>8.4644132902808903E-4</v>
      </c>
    </row>
    <row r="257" spans="19:23">
      <c r="S257">
        <v>0.10300645387285055</v>
      </c>
      <c r="T257">
        <v>-0.14681106661422758</v>
      </c>
      <c r="U257">
        <v>-8.7609225482753964E-3</v>
      </c>
      <c r="V257">
        <v>1.1982009340058324E-2</v>
      </c>
      <c r="W257">
        <v>1.0229824830403254E-3</v>
      </c>
    </row>
    <row r="258" spans="19:23">
      <c r="S258">
        <v>9.347288212883946E-2</v>
      </c>
      <c r="T258">
        <v>-0.14023915018788613</v>
      </c>
      <c r="U258">
        <v>-9.3532536118093208E-3</v>
      </c>
      <c r="V258">
        <v>1.0709241330811111E-2</v>
      </c>
      <c r="W258">
        <v>1.1299556333247609E-3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58"/>
  <sheetViews>
    <sheetView tabSelected="1" workbookViewId="0">
      <selection activeCell="F28" sqref="F28"/>
    </sheetView>
  </sheetViews>
  <sheetFormatPr defaultRowHeight="13.5"/>
  <cols>
    <col min="1" max="1" width="13.375" customWidth="1"/>
  </cols>
  <sheetData>
    <row r="1" spans="1:23">
      <c r="A1" t="s">
        <v>1</v>
      </c>
      <c r="B1">
        <v>1</v>
      </c>
      <c r="C1" t="s">
        <v>2</v>
      </c>
      <c r="D1">
        <v>5</v>
      </c>
      <c r="F1" t="s">
        <v>9</v>
      </c>
      <c r="G1" s="1" t="s">
        <v>10</v>
      </c>
    </row>
    <row r="2" spans="1:23">
      <c r="A2" t="s">
        <v>0</v>
      </c>
      <c r="B2">
        <v>0</v>
      </c>
      <c r="C2">
        <v>0.1</v>
      </c>
      <c r="D2">
        <v>0.2</v>
      </c>
      <c r="E2">
        <v>0.3</v>
      </c>
      <c r="F2">
        <v>0.4</v>
      </c>
      <c r="G2">
        <v>0.5</v>
      </c>
      <c r="H2">
        <v>0.6</v>
      </c>
      <c r="I2">
        <v>0.7</v>
      </c>
      <c r="J2">
        <v>0.8</v>
      </c>
      <c r="K2">
        <v>0.9</v>
      </c>
      <c r="L2">
        <v>1</v>
      </c>
      <c r="M2">
        <v>1.1000000000000001</v>
      </c>
      <c r="N2">
        <v>1.2</v>
      </c>
      <c r="O2">
        <v>1.3</v>
      </c>
      <c r="P2">
        <v>1.4</v>
      </c>
      <c r="Q2">
        <v>1.5</v>
      </c>
      <c r="R2" t="s">
        <v>7</v>
      </c>
      <c r="S2" t="s">
        <v>3</v>
      </c>
      <c r="T2" t="s">
        <v>4</v>
      </c>
      <c r="U2" t="s">
        <v>5</v>
      </c>
      <c r="V2" t="s">
        <v>6</v>
      </c>
      <c r="W2" t="s">
        <v>8</v>
      </c>
    </row>
    <row r="3" spans="1:23">
      <c r="A3">
        <v>0.1</v>
      </c>
      <c r="B3">
        <f>(B$2*EXP(-((B$2^2-2*$B$1*$A3*B$2+$B$1^2*$A3^2)/(4*$D$1*$A3))))/(2*SQRT(PI())*SQRT($D$1)*$A3^(3/2))</f>
        <v>0</v>
      </c>
      <c r="C3">
        <f t="shared" ref="C3:Q18" si="0">(C$2*EXP(-((C$2^2-2*$B$1*$A3*C$2+$B$1^2*$A3^2)/(4*$D$1*$A3))))/(2*SQRT(PI())*SQRT($D$1)*$A3^(3/2))</f>
        <v>0.39894228040143265</v>
      </c>
      <c r="D3">
        <f t="shared" si="0"/>
        <v>0.79390509495402339</v>
      </c>
      <c r="E3">
        <f t="shared" si="0"/>
        <v>1.1731280819263674</v>
      </c>
      <c r="F3">
        <f t="shared" si="0"/>
        <v>1.5255512618420961</v>
      </c>
      <c r="G3">
        <f t="shared" si="0"/>
        <v>1.8413507015166162</v>
      </c>
      <c r="H3">
        <f t="shared" si="0"/>
        <v>2.1123919605857964</v>
      </c>
      <c r="I3">
        <f t="shared" si="0"/>
        <v>2.3325722202425969</v>
      </c>
      <c r="J3">
        <f t="shared" si="0"/>
        <v>2.4980314669340897</v>
      </c>
      <c r="K3">
        <f t="shared" si="0"/>
        <v>2.6072239748533441</v>
      </c>
      <c r="L3">
        <f t="shared" si="0"/>
        <v>2.6608524989875475</v>
      </c>
      <c r="M3">
        <f t="shared" si="0"/>
        <v>2.6616779697105764</v>
      </c>
      <c r="N3">
        <f t="shared" si="0"/>
        <v>2.6142261243906058</v>
      </c>
      <c r="O3">
        <f t="shared" si="0"/>
        <v>2.5244187147817678</v>
      </c>
      <c r="P3">
        <f t="shared" si="0"/>
        <v>2.3991602886693029</v>
      </c>
      <c r="Q3">
        <f t="shared" si="0"/>
        <v>2.245911984536173</v>
      </c>
      <c r="R3">
        <v>0</v>
      </c>
      <c r="S3">
        <v>0</v>
      </c>
      <c r="T3">
        <v>-0.70187066240942941</v>
      </c>
      <c r="U3">
        <v>-0.14037413248188588</v>
      </c>
      <c r="V3">
        <v>0.76583026845764579</v>
      </c>
      <c r="W3">
        <v>0.31194707268233368</v>
      </c>
    </row>
    <row r="4" spans="1:23">
      <c r="A4">
        <v>0.2</v>
      </c>
      <c r="B4">
        <f t="shared" ref="B4:B18" si="1">(B$2*EXP(-((B$2^2-2*$B$1*$A4*B$2+$B$1^2*$A4^2)/(4*$D$1*$A4))))/(2*SQRT(PI())*SQRT($D$1)*$A4^(3/2))</f>
        <v>0</v>
      </c>
      <c r="C4">
        <f t="shared" si="0"/>
        <v>0.14069521780325236</v>
      </c>
      <c r="D4">
        <f t="shared" si="0"/>
        <v>0.28209479177387808</v>
      </c>
      <c r="E4">
        <f t="shared" si="0"/>
        <v>0.42208565340975707</v>
      </c>
      <c r="F4">
        <f t="shared" si="0"/>
        <v>0.55857580339446833</v>
      </c>
      <c r="G4">
        <f t="shared" si="0"/>
        <v>0.68954632915676473</v>
      </c>
      <c r="H4">
        <f t="shared" si="0"/>
        <v>0.81310109032864697</v>
      </c>
      <c r="I4">
        <f t="shared" si="0"/>
        <v>0.92751236320409969</v>
      </c>
      <c r="J4">
        <f t="shared" si="0"/>
        <v>1.0312609096189629</v>
      </c>
      <c r="K4">
        <f t="shared" si="0"/>
        <v>1.1230691761626856</v>
      </c>
      <c r="L4">
        <f t="shared" si="0"/>
        <v>1.2019266235491344</v>
      </c>
      <c r="M4">
        <f t="shared" si="0"/>
        <v>1.2671065178918024</v>
      </c>
      <c r="N4">
        <f t="shared" si="0"/>
        <v>1.3181738684031667</v>
      </c>
      <c r="O4">
        <f t="shared" si="0"/>
        <v>1.3549845518486181</v>
      </c>
      <c r="P4">
        <f t="shared" si="0"/>
        <v>1.3776760055000021</v>
      </c>
      <c r="Q4">
        <f t="shared" si="0"/>
        <v>1.3866501813122059</v>
      </c>
      <c r="R4">
        <v>0</v>
      </c>
      <c r="S4">
        <v>0</v>
      </c>
      <c r="T4">
        <v>-0.46982209499629707</v>
      </c>
      <c r="U4">
        <v>-9.3964418999259378E-2</v>
      </c>
      <c r="V4">
        <v>0.26049501789738239</v>
      </c>
      <c r="W4">
        <v>0.10795658391892338</v>
      </c>
    </row>
    <row r="5" spans="1:23">
      <c r="A5">
        <v>0.3</v>
      </c>
      <c r="B5">
        <f t="shared" si="1"/>
        <v>0</v>
      </c>
      <c r="C5">
        <f t="shared" si="0"/>
        <v>7.6266336834722476E-2</v>
      </c>
      <c r="D5">
        <f t="shared" si="0"/>
        <v>0.15329724687795324</v>
      </c>
      <c r="E5">
        <f t="shared" si="0"/>
        <v>0.23032943298089037</v>
      </c>
      <c r="F5">
        <f t="shared" si="0"/>
        <v>0.30659449375590647</v>
      </c>
      <c r="G5">
        <f t="shared" si="0"/>
        <v>0.38133168417361235</v>
      </c>
      <c r="H5">
        <f t="shared" si="0"/>
        <v>0.45380054894295707</v>
      </c>
      <c r="I5">
        <f t="shared" si="0"/>
        <v>0.5232931352835275</v>
      </c>
      <c r="J5">
        <f t="shared" si="0"/>
        <v>0.5891455034058557</v>
      </c>
      <c r="K5">
        <f t="shared" si="0"/>
        <v>0.6507482730659182</v>
      </c>
      <c r="L5">
        <f t="shared" si="0"/>
        <v>0.70755597224553146</v>
      </c>
      <c r="M5">
        <f t="shared" si="0"/>
        <v>0.75909498835050182</v>
      </c>
      <c r="N5">
        <f t="shared" si="0"/>
        <v>0.80496996210194671</v>
      </c>
      <c r="O5">
        <f t="shared" si="0"/>
        <v>0.84486850813187842</v>
      </c>
      <c r="P5">
        <f t="shared" si="0"/>
        <v>0.87856419266817565</v>
      </c>
      <c r="Q5">
        <f t="shared" si="0"/>
        <v>0.90591774603214925</v>
      </c>
      <c r="R5">
        <v>0</v>
      </c>
      <c r="S5">
        <v>0</v>
      </c>
      <c r="T5">
        <v>-0.36755152592936496</v>
      </c>
      <c r="U5">
        <v>-7.3510305185872996E-2</v>
      </c>
      <c r="V5">
        <v>0.1365647886104778</v>
      </c>
      <c r="W5">
        <v>5.7566327651626045E-2</v>
      </c>
    </row>
    <row r="6" spans="1:23">
      <c r="A6">
        <v>0.4</v>
      </c>
      <c r="B6">
        <f t="shared" si="1"/>
        <v>0</v>
      </c>
      <c r="C6">
        <f t="shared" si="0"/>
        <v>4.9309916363486105E-2</v>
      </c>
      <c r="D6">
        <f t="shared" si="0"/>
        <v>9.9238136869252924E-2</v>
      </c>
      <c r="E6">
        <f t="shared" si="0"/>
        <v>0.14941646778553647</v>
      </c>
      <c r="F6">
        <f t="shared" si="0"/>
        <v>0.19947114020071632</v>
      </c>
      <c r="G6">
        <f t="shared" si="0"/>
        <v>0.24902744630922746</v>
      </c>
      <c r="H6">
        <f t="shared" si="0"/>
        <v>0.29771441060775877</v>
      </c>
      <c r="I6">
        <f t="shared" si="0"/>
        <v>0.34516941454440275</v>
      </c>
      <c r="J6">
        <f t="shared" si="0"/>
        <v>0.39104269397545577</v>
      </c>
      <c r="K6">
        <f t="shared" si="0"/>
        <v>0.4350016314032053</v>
      </c>
      <c r="L6">
        <f t="shared" si="0"/>
        <v>0.47673476932565506</v>
      </c>
      <c r="M6">
        <f t="shared" si="0"/>
        <v>0.51595547701078959</v>
      </c>
      <c r="N6">
        <f t="shared" si="0"/>
        <v>0.55240521045498492</v>
      </c>
      <c r="O6">
        <f t="shared" si="0"/>
        <v>0.58585631400017779</v>
      </c>
      <c r="P6">
        <f t="shared" si="0"/>
        <v>0.61611432183752401</v>
      </c>
      <c r="Q6">
        <f t="shared" si="0"/>
        <v>0.64301972816134467</v>
      </c>
      <c r="R6">
        <v>0</v>
      </c>
      <c r="S6">
        <v>0</v>
      </c>
      <c r="T6">
        <v>-0.30689463586327653</v>
      </c>
      <c r="U6">
        <v>-6.13789271726553E-2</v>
      </c>
      <c r="V6">
        <v>8.5484888059332881E-2</v>
      </c>
      <c r="W6">
        <v>3.6649112310639373E-2</v>
      </c>
    </row>
    <row r="7" spans="1:23">
      <c r="A7">
        <v>0.5</v>
      </c>
      <c r="B7">
        <f t="shared" si="1"/>
        <v>0</v>
      </c>
      <c r="C7">
        <f t="shared" si="0"/>
        <v>3.5116105701508624E-2</v>
      </c>
      <c r="D7">
        <f t="shared" si="0"/>
        <v>7.0725561593995151E-2</v>
      </c>
      <c r="E7">
        <f t="shared" si="0"/>
        <v>0.10662011242016683</v>
      </c>
      <c r="F7">
        <f t="shared" si="0"/>
        <v>0.14258727070411176</v>
      </c>
      <c r="G7">
        <f t="shared" si="0"/>
        <v>0.1784124116152771</v>
      </c>
      <c r="H7">
        <f t="shared" si="0"/>
        <v>0.21388090605616758</v>
      </c>
      <c r="I7">
        <f t="shared" si="0"/>
        <v>0.24878026231372261</v>
      </c>
      <c r="J7">
        <f t="shared" si="0"/>
        <v>0.2829022463759806</v>
      </c>
      <c r="K7">
        <f t="shared" si="0"/>
        <v>0.31604495131357757</v>
      </c>
      <c r="L7">
        <f t="shared" si="0"/>
        <v>0.34801478695451715</v>
      </c>
      <c r="M7">
        <f t="shared" si="0"/>
        <v>0.37862836242350384</v>
      </c>
      <c r="N7">
        <f t="shared" si="0"/>
        <v>0.40771423594576606</v>
      </c>
      <c r="O7">
        <f t="shared" si="0"/>
        <v>0.4351145085910072</v>
      </c>
      <c r="P7">
        <f t="shared" si="0"/>
        <v>0.46068624130767627</v>
      </c>
      <c r="Q7">
        <f t="shared" si="0"/>
        <v>0.48430267761460855</v>
      </c>
      <c r="R7">
        <v>0</v>
      </c>
      <c r="S7">
        <v>0</v>
      </c>
      <c r="T7">
        <v>-0.26570845957870504</v>
      </c>
      <c r="U7">
        <v>-5.3141691915741009E-2</v>
      </c>
      <c r="V7">
        <v>5.8974619007755226E-2</v>
      </c>
      <c r="W7">
        <v>2.5715515279731736E-2</v>
      </c>
    </row>
    <row r="8" spans="1:23">
      <c r="A8">
        <v>0.6</v>
      </c>
      <c r="B8">
        <f t="shared" si="1"/>
        <v>0</v>
      </c>
      <c r="C8">
        <f t="shared" si="0"/>
        <v>2.6584921883966946E-2</v>
      </c>
      <c r="D8">
        <f t="shared" si="0"/>
        <v>5.3570116743574224E-2</v>
      </c>
      <c r="E8">
        <f t="shared" si="0"/>
        <v>8.0825283453125008E-2</v>
      </c>
      <c r="F8">
        <f t="shared" si="0"/>
        <v>0.10821701073513107</v>
      </c>
      <c r="G8">
        <f t="shared" si="0"/>
        <v>0.13560986465264849</v>
      </c>
      <c r="H8">
        <f t="shared" si="0"/>
        <v>0.16286750396763996</v>
      </c>
      <c r="I8">
        <f t="shared" si="0"/>
        <v>0.18985381051370789</v>
      </c>
      <c r="J8">
        <f t="shared" si="0"/>
        <v>0.21643402147026214</v>
      </c>
      <c r="K8">
        <f t="shared" si="0"/>
        <v>0.24247585035937502</v>
      </c>
      <c r="L8">
        <f t="shared" si="0"/>
        <v>0.26785058371787113</v>
      </c>
      <c r="M8">
        <f t="shared" si="0"/>
        <v>0.29243414072363644</v>
      </c>
      <c r="N8">
        <f t="shared" si="0"/>
        <v>0.31610808357118031</v>
      </c>
      <c r="O8">
        <f t="shared" si="0"/>
        <v>0.3387605670881656</v>
      </c>
      <c r="P8">
        <f t="shared" si="0"/>
        <v>0.36028721694968213</v>
      </c>
      <c r="Q8">
        <f t="shared" si="0"/>
        <v>0.38059192686523485</v>
      </c>
      <c r="R8">
        <v>0</v>
      </c>
      <c r="S8">
        <v>0</v>
      </c>
      <c r="T8">
        <v>-0.23545848952044629</v>
      </c>
      <c r="U8">
        <v>-4.7091697904089264E-2</v>
      </c>
      <c r="V8">
        <v>4.3266341014378873E-2</v>
      </c>
      <c r="W8">
        <v>1.9190204321915125E-2</v>
      </c>
    </row>
    <row r="9" spans="1:23">
      <c r="A9">
        <v>0.7</v>
      </c>
      <c r="B9">
        <f t="shared" si="1"/>
        <v>0</v>
      </c>
      <c r="C9">
        <f t="shared" si="0"/>
        <v>2.099401162787868E-2</v>
      </c>
      <c r="D9">
        <f t="shared" si="0"/>
        <v>4.2319228612766061E-2</v>
      </c>
      <c r="E9">
        <f t="shared" si="0"/>
        <v>6.3888235690496772E-2</v>
      </c>
      <c r="F9">
        <f t="shared" si="0"/>
        <v>8.5611302406087622E-2</v>
      </c>
      <c r="G9">
        <f t="shared" si="0"/>
        <v>0.10739700462319543</v>
      </c>
      <c r="H9">
        <f t="shared" si="0"/>
        <v>0.12915286537517812</v>
      </c>
      <c r="I9">
        <f t="shared" si="0"/>
        <v>0.15078600877302686</v>
      </c>
      <c r="J9">
        <f t="shared" si="0"/>
        <v>0.1722038205002375</v>
      </c>
      <c r="K9">
        <f t="shared" si="0"/>
        <v>0.19331460832175176</v>
      </c>
      <c r="L9">
        <f t="shared" si="0"/>
        <v>0.21402825601521905</v>
      </c>
      <c r="M9">
        <f t="shared" si="0"/>
        <v>0.23425686419848815</v>
      </c>
      <c r="N9">
        <f t="shared" si="0"/>
        <v>0.25391537167659634</v>
      </c>
      <c r="O9">
        <f t="shared" si="0"/>
        <v>0.2729221511624228</v>
      </c>
      <c r="P9">
        <f t="shared" si="0"/>
        <v>0.29119957353419135</v>
      </c>
      <c r="Q9">
        <f t="shared" si="0"/>
        <v>0.30867453517549914</v>
      </c>
      <c r="R9">
        <v>0</v>
      </c>
      <c r="S9">
        <v>0</v>
      </c>
      <c r="T9">
        <v>-0.21206589552412536</v>
      </c>
      <c r="U9">
        <v>-4.2413179104825068E-2</v>
      </c>
      <c r="V9">
        <v>3.3117303255348042E-2</v>
      </c>
      <c r="W9">
        <v>1.4943448466332224E-2</v>
      </c>
    </row>
    <row r="10" spans="1:23">
      <c r="A10">
        <v>0.8</v>
      </c>
      <c r="B10">
        <f t="shared" si="1"/>
        <v>0</v>
      </c>
      <c r="C10">
        <f t="shared" si="0"/>
        <v>1.7099161603263115E-2</v>
      </c>
      <c r="D10">
        <f t="shared" si="0"/>
        <v>3.4477316457838247E-2</v>
      </c>
      <c r="E10">
        <f t="shared" si="0"/>
        <v>5.2072747012343559E-2</v>
      </c>
      <c r="F10">
        <f t="shared" si="0"/>
        <v>6.9821975424308569E-2</v>
      </c>
      <c r="G10">
        <f t="shared" si="0"/>
        <v>8.7660144700582046E-2</v>
      </c>
      <c r="H10">
        <f t="shared" si="0"/>
        <v>0.10552141335243929</v>
      </c>
      <c r="I10">
        <f t="shared" si="0"/>
        <v>0.12333936020620455</v>
      </c>
      <c r="J10">
        <f t="shared" si="0"/>
        <v>0.14104739588693907</v>
      </c>
      <c r="K10">
        <f t="shared" si="0"/>
        <v>0.15857917740797731</v>
      </c>
      <c r="L10">
        <f t="shared" si="0"/>
        <v>0.1758690222540655</v>
      </c>
      <c r="M10">
        <f t="shared" si="0"/>
        <v>0.1928523183412805</v>
      </c>
      <c r="N10">
        <f t="shared" si="0"/>
        <v>0.20946592627292565</v>
      </c>
      <c r="O10">
        <f t="shared" si="0"/>
        <v>0.22564857038682209</v>
      </c>
      <c r="P10">
        <f t="shared" si="0"/>
        <v>0.2413412152048677</v>
      </c>
      <c r="Q10">
        <f t="shared" si="0"/>
        <v>0.25648742404894675</v>
      </c>
      <c r="R10">
        <v>0</v>
      </c>
      <c r="S10">
        <v>0</v>
      </c>
      <c r="T10">
        <v>-0.19330395569726366</v>
      </c>
      <c r="U10">
        <v>-3.8660791139452734E-2</v>
      </c>
      <c r="V10">
        <v>2.6147053869136423E-2</v>
      </c>
      <c r="W10">
        <v>1.2005253193232684E-2</v>
      </c>
    </row>
    <row r="11" spans="1:23">
      <c r="A11">
        <v>0.9</v>
      </c>
      <c r="B11">
        <f t="shared" si="1"/>
        <v>0</v>
      </c>
      <c r="C11">
        <f t="shared" si="0"/>
        <v>1.4259513873926443E-2</v>
      </c>
      <c r="D11">
        <f t="shared" si="0"/>
        <v>2.8757679312855323E-2</v>
      </c>
      <c r="E11">
        <f t="shared" si="0"/>
        <v>4.3449188219495095E-2</v>
      </c>
      <c r="F11">
        <f t="shared" si="0"/>
        <v>5.8287365348435538E-2</v>
      </c>
      <c r="G11">
        <f t="shared" si="0"/>
        <v>7.3224414978855124E-2</v>
      </c>
      <c r="H11">
        <f t="shared" si="0"/>
        <v>8.8211677217113732E-2</v>
      </c>
      <c r="I11">
        <f t="shared" si="0"/>
        <v>0.10319989200732094</v>
      </c>
      <c r="J11">
        <f t="shared" si="0"/>
        <v>0.11813946884591912</v>
      </c>
      <c r="K11">
        <f t="shared" si="0"/>
        <v>0.13298076013381091</v>
      </c>
      <c r="L11">
        <f t="shared" si="0"/>
        <v>0.14767433605739891</v>
      </c>
      <c r="M11">
        <f t="shared" si="0"/>
        <v>0.16217125886864719</v>
      </c>
      <c r="N11">
        <f t="shared" si="0"/>
        <v>0.17642335443422746</v>
      </c>
      <c r="O11">
        <f t="shared" si="0"/>
        <v>0.19038347894502336</v>
      </c>
      <c r="P11">
        <f t="shared" si="0"/>
        <v>0.20400577871952438</v>
      </c>
      <c r="Q11">
        <f t="shared" si="0"/>
        <v>0.2172459410974755</v>
      </c>
      <c r="R11">
        <v>0</v>
      </c>
      <c r="S11">
        <v>0</v>
      </c>
      <c r="T11">
        <v>-0.17784082807813995</v>
      </c>
      <c r="U11">
        <v>-3.5568165615627992E-2</v>
      </c>
      <c r="V11">
        <v>2.1137316170246556E-2</v>
      </c>
      <c r="W11">
        <v>9.8776530927237455E-3</v>
      </c>
    </row>
    <row r="12" spans="1:23">
      <c r="A12">
        <v>1</v>
      </c>
      <c r="B12">
        <f t="shared" si="1"/>
        <v>0</v>
      </c>
      <c r="C12">
        <f t="shared" si="0"/>
        <v>1.2114936420863772E-2</v>
      </c>
      <c r="D12">
        <f t="shared" si="0"/>
        <v>2.4436704550346112E-2</v>
      </c>
      <c r="E12">
        <f t="shared" si="0"/>
        <v>3.6931003257332166E-2</v>
      </c>
      <c r="F12">
        <f t="shared" si="0"/>
        <v>4.9562448852082469E-2</v>
      </c>
      <c r="G12">
        <f t="shared" si="0"/>
        <v>6.2294741661281239E-2</v>
      </c>
      <c r="H12">
        <f t="shared" si="0"/>
        <v>7.5090839616219637E-2</v>
      </c>
      <c r="I12">
        <f t="shared" si="0"/>
        <v>8.7913137693879775E-2</v>
      </c>
      <c r="J12">
        <f t="shared" si="0"/>
        <v>0.10072365199514675</v>
      </c>
      <c r="K12">
        <f t="shared" si="0"/>
        <v>0.11348420719941706</v>
      </c>
      <c r="L12">
        <f t="shared" si="0"/>
        <v>0.126156626101008</v>
      </c>
      <c r="M12">
        <f t="shared" si="0"/>
        <v>0.1387029199103986</v>
      </c>
      <c r="N12">
        <f t="shared" si="0"/>
        <v>0.15108547799272012</v>
      </c>
      <c r="O12">
        <f t="shared" si="0"/>
        <v>0.1632672557172053</v>
      </c>
      <c r="P12">
        <f t="shared" si="0"/>
        <v>0.17521195910451248</v>
      </c>
      <c r="Q12">
        <f t="shared" si="0"/>
        <v>0.18688422498384372</v>
      </c>
      <c r="R12">
        <v>0</v>
      </c>
      <c r="S12">
        <v>0</v>
      </c>
      <c r="T12">
        <v>-0.16482482628144229</v>
      </c>
      <c r="U12">
        <v>-3.2964965256288455E-2</v>
      </c>
      <c r="V12">
        <v>1.7407785917345028E-2</v>
      </c>
      <c r="W12">
        <v>8.2817129771895516E-3</v>
      </c>
    </row>
    <row r="13" spans="1:23">
      <c r="A13">
        <v>1.1000000000000001</v>
      </c>
      <c r="B13">
        <f t="shared" si="1"/>
        <v>0</v>
      </c>
      <c r="C13">
        <f t="shared" si="0"/>
        <v>1.044913595359029E-2</v>
      </c>
      <c r="D13">
        <f t="shared" si="0"/>
        <v>2.1079538598600272E-2</v>
      </c>
      <c r="E13">
        <f t="shared" si="0"/>
        <v>3.1864585355907291E-2</v>
      </c>
      <c r="F13">
        <f t="shared" si="0"/>
        <v>4.2776781643606092E-2</v>
      </c>
      <c r="G13">
        <f t="shared" si="0"/>
        <v>5.3787877292970382E-2</v>
      </c>
      <c r="H13">
        <f t="shared" si="0"/>
        <v>6.4868988179861156E-2</v>
      </c>
      <c r="I13">
        <f t="shared" si="0"/>
        <v>7.5990722340117209E-2</v>
      </c>
      <c r="J13">
        <f t="shared" si="0"/>
        <v>8.7123309799074747E-2</v>
      </c>
      <c r="K13">
        <f t="shared" si="0"/>
        <v>9.8236735313007736E-2</v>
      </c>
      <c r="L13">
        <f t="shared" si="0"/>
        <v>0.10930087319429281</v>
      </c>
      <c r="M13">
        <f t="shared" si="0"/>
        <v>0.12028562337275514</v>
      </c>
      <c r="N13">
        <f t="shared" si="0"/>
        <v>0.13116104783315138</v>
      </c>
      <c r="O13">
        <f t="shared" si="0"/>
        <v>0.14189750656323341</v>
      </c>
      <c r="P13">
        <f t="shared" si="0"/>
        <v>0.1524657921483808</v>
      </c>
      <c r="Q13">
        <f t="shared" si="0"/>
        <v>0.162837262157394</v>
      </c>
      <c r="R13">
        <v>0</v>
      </c>
      <c r="S13">
        <v>0</v>
      </c>
      <c r="T13">
        <v>-0.15368269848882093</v>
      </c>
      <c r="U13">
        <v>-3.073653969776419E-2</v>
      </c>
      <c r="V13">
        <v>1.4552429521290652E-2</v>
      </c>
      <c r="W13">
        <v>7.0504333964268306E-3</v>
      </c>
    </row>
    <row r="14" spans="1:23">
      <c r="A14">
        <v>1.2</v>
      </c>
      <c r="B14">
        <f t="shared" si="1"/>
        <v>0</v>
      </c>
      <c r="C14">
        <f t="shared" si="0"/>
        <v>9.1252026225118119E-3</v>
      </c>
      <c r="D14">
        <f t="shared" si="0"/>
        <v>1.8410796981432984E-2</v>
      </c>
      <c r="E14">
        <f t="shared" si="0"/>
        <v>2.7835691377881958E-2</v>
      </c>
      <c r="F14">
        <f t="shared" si="0"/>
        <v>3.7378081091680532E-2</v>
      </c>
      <c r="G14">
        <f t="shared" si="0"/>
        <v>4.7015532078059093E-2</v>
      </c>
      <c r="H14">
        <f t="shared" si="0"/>
        <v>5.6725068617869613E-2</v>
      </c>
      <c r="I14">
        <f t="shared" si="0"/>
        <v>6.6483264443392504E-2</v>
      </c>
      <c r="J14">
        <f t="shared" si="0"/>
        <v>7.6266336834722448E-2</v>
      </c>
      <c r="K14">
        <f t="shared" si="0"/>
        <v>8.6050243158207848E-2</v>
      </c>
      <c r="L14">
        <f t="shared" si="0"/>
        <v>9.5810779298720741E-2</v>
      </c>
      <c r="M14">
        <f t="shared" si="0"/>
        <v>0.10552367942183498</v>
      </c>
      <c r="N14">
        <f t="shared" si="0"/>
        <v>0.11516471649044516</v>
      </c>
      <c r="O14">
        <f t="shared" si="0"/>
        <v>0.12470980295307771</v>
      </c>
      <c r="P14">
        <f t="shared" si="0"/>
        <v>0.13413509101820903</v>
      </c>
      <c r="Q14">
        <f t="shared" si="0"/>
        <v>0.14341707193034642</v>
      </c>
      <c r="R14">
        <v>0</v>
      </c>
      <c r="S14">
        <v>0</v>
      </c>
      <c r="T14">
        <v>-0.14401264206809231</v>
      </c>
      <c r="U14">
        <v>-2.8802528413618453E-2</v>
      </c>
      <c r="V14">
        <v>1.2315835235774031E-2</v>
      </c>
      <c r="W14">
        <v>6.0784352308543505E-3</v>
      </c>
    </row>
    <row r="15" spans="1:23">
      <c r="A15">
        <v>1.3</v>
      </c>
      <c r="B15">
        <f t="shared" si="1"/>
        <v>0</v>
      </c>
      <c r="C15">
        <f t="shared" si="0"/>
        <v>8.052705276763869E-3</v>
      </c>
      <c r="D15">
        <f t="shared" si="0"/>
        <v>1.6248513515245044E-2</v>
      </c>
      <c r="E15">
        <f t="shared" si="0"/>
        <v>2.4570424407630291E-2</v>
      </c>
      <c r="F15">
        <f t="shared" si="0"/>
        <v>3.3000846892662763E-2</v>
      </c>
      <c r="G15">
        <f t="shared" si="0"/>
        <v>4.1521660772853984E-2</v>
      </c>
      <c r="H15">
        <f t="shared" si="0"/>
        <v>5.0114281380620254E-2</v>
      </c>
      <c r="I15">
        <f t="shared" si="0"/>
        <v>5.8759726971626916E-2</v>
      </c>
      <c r="J15">
        <f t="shared" si="0"/>
        <v>6.7438688504105754E-2</v>
      </c>
      <c r="K15">
        <f t="shared" si="0"/>
        <v>7.6131601445607183E-2</v>
      </c>
      <c r="L15">
        <f t="shared" si="0"/>
        <v>8.4818719233710788E-2</v>
      </c>
      <c r="M15">
        <f t="shared" si="0"/>
        <v>9.3480188004773007E-2</v>
      </c>
      <c r="N15">
        <f t="shared" si="0"/>
        <v>0.10209612219495233</v>
      </c>
      <c r="O15">
        <f t="shared" si="0"/>
        <v>0.11064668061060755</v>
      </c>
      <c r="P15">
        <f t="shared" si="0"/>
        <v>0.11911214256077771</v>
      </c>
      <c r="Q15">
        <f t="shared" si="0"/>
        <v>0.12747298364287227</v>
      </c>
      <c r="R15">
        <v>0</v>
      </c>
      <c r="S15">
        <v>0</v>
      </c>
      <c r="T15">
        <v>-0.13552360477078959</v>
      </c>
      <c r="U15">
        <v>-2.7104720954157915E-2</v>
      </c>
      <c r="V15">
        <v>1.053034878315484E-2</v>
      </c>
      <c r="W15">
        <v>5.2963283514282531E-3</v>
      </c>
    </row>
    <row r="16" spans="1:23">
      <c r="A16">
        <v>1.4</v>
      </c>
      <c r="B16">
        <f t="shared" si="1"/>
        <v>0</v>
      </c>
      <c r="C16">
        <f t="shared" si="0"/>
        <v>7.1697702330435244E-3</v>
      </c>
      <c r="D16">
        <f t="shared" si="0"/>
        <v>1.4468145351988888E-2</v>
      </c>
      <c r="E16">
        <f t="shared" si="0"/>
        <v>2.1881220429426564E-2</v>
      </c>
      <c r="F16">
        <f t="shared" si="0"/>
        <v>2.9394595377845622E-2</v>
      </c>
      <c r="G16">
        <f t="shared" si="0"/>
        <v>3.6993421234423909E-2</v>
      </c>
      <c r="H16">
        <f t="shared" si="0"/>
        <v>4.4662448833595637E-2</v>
      </c>
      <c r="I16">
        <f t="shared" si="0"/>
        <v>5.2386079645281407E-2</v>
      </c>
      <c r="J16">
        <f t="shared" si="0"/>
        <v>6.0148418542348515E-2</v>
      </c>
      <c r="K16">
        <f t="shared" si="0"/>
        <v>6.7933328247960334E-2</v>
      </c>
      <c r="L16">
        <f t="shared" si="0"/>
        <v>7.5724485202075281E-2</v>
      </c>
      <c r="M16">
        <f t="shared" si="0"/>
        <v>8.3505436576561148E-2</v>
      </c>
      <c r="N16">
        <f t="shared" si="0"/>
        <v>9.1259658160278201E-2</v>
      </c>
      <c r="O16">
        <f t="shared" si="0"/>
        <v>9.8970612829122506E-2</v>
      </c>
      <c r="P16">
        <f t="shared" si="0"/>
        <v>0.10662180931146154</v>
      </c>
      <c r="Q16">
        <f t="shared" si="0"/>
        <v>0.1141968609566798</v>
      </c>
      <c r="R16">
        <v>0</v>
      </c>
      <c r="S16">
        <v>0</v>
      </c>
      <c r="T16">
        <v>-0.12799893090933423</v>
      </c>
      <c r="U16">
        <v>-2.5599786181866837E-2</v>
      </c>
      <c r="V16">
        <v>9.081973630654808E-3</v>
      </c>
      <c r="W16">
        <v>4.6567808995365972E-3</v>
      </c>
    </row>
    <row r="17" spans="1:23">
      <c r="A17">
        <v>1.5</v>
      </c>
      <c r="B17">
        <f t="shared" si="1"/>
        <v>0</v>
      </c>
      <c r="C17">
        <f t="shared" si="0"/>
        <v>6.4327884759000893E-3</v>
      </c>
      <c r="D17">
        <f t="shared" si="0"/>
        <v>1.2981889766923996E-2</v>
      </c>
      <c r="E17">
        <f t="shared" si="0"/>
        <v>1.9635786294650868E-2</v>
      </c>
      <c r="F17">
        <f t="shared" si="0"/>
        <v>2.6382541165902631E-2</v>
      </c>
      <c r="G17">
        <f t="shared" si="0"/>
        <v>3.3209833546459372E-2</v>
      </c>
      <c r="H17">
        <f t="shared" si="0"/>
        <v>4.0104995930678858E-2</v>
      </c>
      <c r="I17">
        <f t="shared" si="0"/>
        <v>4.7055053150317223E-2</v>
      </c>
      <c r="J17">
        <f t="shared" si="0"/>
        <v>5.4046762955169629E-2</v>
      </c>
      <c r="K17">
        <f t="shared" si="0"/>
        <v>6.1066657988388534E-2</v>
      </c>
      <c r="L17">
        <f t="shared" si="0"/>
        <v>6.8101088970568435E-2</v>
      </c>
      <c r="M17">
        <f t="shared" si="0"/>
        <v>7.5136268898971931E-2</v>
      </c>
      <c r="N17">
        <f t="shared" si="0"/>
        <v>8.2158318061674257E-2</v>
      </c>
      <c r="O17">
        <f t="shared" si="0"/>
        <v>8.9153309660970015E-2</v>
      </c>
      <c r="P17">
        <f t="shared" si="0"/>
        <v>9.6107315836159821E-2</v>
      </c>
      <c r="Q17">
        <f t="shared" si="0"/>
        <v>0.10300645387285055</v>
      </c>
      <c r="R17">
        <v>0</v>
      </c>
      <c r="S17">
        <v>0</v>
      </c>
      <c r="T17">
        <v>-0.12127359743034546</v>
      </c>
      <c r="U17">
        <v>-2.4254719486069082E-2</v>
      </c>
      <c r="V17">
        <v>7.8908649868314664E-3</v>
      </c>
      <c r="W17">
        <v>4.1265347741753526E-3</v>
      </c>
    </row>
    <row r="18" spans="1:23">
      <c r="A18">
        <v>1.6</v>
      </c>
      <c r="B18">
        <f t="shared" si="1"/>
        <v>0</v>
      </c>
      <c r="C18">
        <f t="shared" si="0"/>
        <v>5.810235841715139E-3</v>
      </c>
      <c r="D18">
        <f t="shared" si="0"/>
        <v>1.1726260841154306E-2</v>
      </c>
      <c r="E18">
        <f t="shared" si="0"/>
        <v>1.7738429621897783E-2</v>
      </c>
      <c r="F18">
        <f t="shared" si="0"/>
        <v>2.3836738466282752E-2</v>
      </c>
      <c r="G18">
        <f t="shared" si="0"/>
        <v>3.001085275825818E-2</v>
      </c>
      <c r="H18">
        <f t="shared" si="0"/>
        <v>3.6250135950267104E-2</v>
      </c>
      <c r="I18">
        <f t="shared" si="0"/>
        <v>4.2543679941519461E-2</v>
      </c>
      <c r="J18">
        <f t="shared" si="0"/>
        <v>4.8880336746931971E-2</v>
      </c>
      <c r="K18">
        <f t="shared" si="0"/>
        <v>5.5248751328537703E-2</v>
      </c>
      <c r="L18">
        <f t="shared" si="0"/>
        <v>6.1637395454357632E-2</v>
      </c>
      <c r="M18">
        <f t="shared" si="0"/>
        <v>6.8034602443628814E-2</v>
      </c>
      <c r="N18">
        <f t="shared" si="0"/>
        <v>7.4428602651939693E-2</v>
      </c>
      <c r="O18">
        <f t="shared" si="0"/>
        <v>8.0807559545272842E-2</v>
      </c>
      <c r="P18">
        <f t="shared" si="0"/>
        <v>8.7159606208229601E-2</v>
      </c>
      <c r="Q18">
        <f t="shared" si="0"/>
        <v>9.347288212883946E-2</v>
      </c>
      <c r="R18">
        <v>0</v>
      </c>
      <c r="S18">
        <v>0</v>
      </c>
      <c r="T18">
        <v>-0.11521941847372651</v>
      </c>
      <c r="U18">
        <v>-2.3043883694745301E-2</v>
      </c>
      <c r="V18">
        <v>6.8996651455297923E-3</v>
      </c>
      <c r="W18">
        <v>3.68162140600173E-3</v>
      </c>
    </row>
    <row r="19" spans="1:23">
      <c r="R19">
        <v>-5.9442399779813409</v>
      </c>
      <c r="S19">
        <v>0.39894228040143265</v>
      </c>
      <c r="T19">
        <v>-0.71203659915617068</v>
      </c>
      <c r="U19">
        <v>-6.2618863750947593E-2</v>
      </c>
      <c r="V19">
        <v>0.78536078805267495</v>
      </c>
      <c r="W19">
        <v>7.7283701530248577E-2</v>
      </c>
    </row>
    <row r="20" spans="1:23">
      <c r="R20">
        <v>-1.04642068241169</v>
      </c>
      <c r="S20">
        <v>0.14069521780325236</v>
      </c>
      <c r="T20">
        <v>-0.47789970872726328</v>
      </c>
      <c r="U20">
        <v>-6.7440898184802187E-2</v>
      </c>
      <c r="V20">
        <v>0.26930920814757681</v>
      </c>
      <c r="W20">
        <v>6.8001711018742278E-2</v>
      </c>
    </row>
    <row r="21" spans="1:23">
      <c r="R21">
        <v>-0.37709466546057241</v>
      </c>
      <c r="S21">
        <v>7.6266336834722476E-2</v>
      </c>
      <c r="T21">
        <v>-0.37421070845181359</v>
      </c>
      <c r="U21">
        <v>-5.9588874323418244E-2</v>
      </c>
      <c r="V21">
        <v>0.14163178329589091</v>
      </c>
      <c r="W21">
        <v>4.3647416325531325E-2</v>
      </c>
    </row>
    <row r="22" spans="1:23">
      <c r="R22">
        <v>-0.18229259705626272</v>
      </c>
      <c r="S22">
        <v>4.9309916363486105E-2</v>
      </c>
      <c r="T22">
        <v>-0.31259926205138056</v>
      </c>
      <c r="U22">
        <v>-5.2657869137578889E-2</v>
      </c>
      <c r="V22">
        <v>8.8827907644908721E-2</v>
      </c>
      <c r="W22">
        <v>3.0148534275762206E-2</v>
      </c>
    </row>
    <row r="23" spans="1:23">
      <c r="R23">
        <v>-0.10352227960804745</v>
      </c>
      <c r="S23">
        <v>3.5116105701508624E-2</v>
      </c>
      <c r="T23">
        <v>-0.27072361553145291</v>
      </c>
      <c r="U23">
        <v>-4.7121501965988868E-2</v>
      </c>
      <c r="V23">
        <v>6.1369768701043603E-2</v>
      </c>
      <c r="W23">
        <v>2.2151411951929063E-2</v>
      </c>
    </row>
    <row r="24" spans="1:23">
      <c r="R24">
        <v>-6.509613511310243E-2</v>
      </c>
      <c r="S24">
        <v>2.6584921883966946E-2</v>
      </c>
      <c r="T24">
        <v>-0.23994821760682372</v>
      </c>
      <c r="U24">
        <v>-4.267265914457135E-2</v>
      </c>
      <c r="V24">
        <v>4.5078393970419066E-2</v>
      </c>
      <c r="W24">
        <v>1.7028078861890519E-2</v>
      </c>
    </row>
    <row r="25" spans="1:23">
      <c r="R25">
        <v>-4.3916044731787056E-2</v>
      </c>
      <c r="S25">
        <v>2.099401162787868E-2</v>
      </c>
      <c r="T25">
        <v>-0.21613919377054691</v>
      </c>
      <c r="U25">
        <v>-3.9029036428533656E-2</v>
      </c>
      <c r="V25">
        <v>3.4542113312242828E-2</v>
      </c>
      <c r="W25">
        <v>1.3537388946255485E-2</v>
      </c>
    </row>
    <row r="26" spans="1:23">
      <c r="R26">
        <v>-3.1192611205952635E-2</v>
      </c>
      <c r="S26">
        <v>1.7099161603263115E-2</v>
      </c>
      <c r="T26">
        <v>-0.19703733792279876</v>
      </c>
      <c r="U26">
        <v>-3.5987635263907129E-2</v>
      </c>
      <c r="V26">
        <v>2.7300031481801906E-2</v>
      </c>
      <c r="W26">
        <v>1.1043416908625894E-2</v>
      </c>
    </row>
    <row r="27" spans="1:23">
      <c r="R27">
        <v>-2.304407859378978E-2</v>
      </c>
      <c r="S27">
        <v>1.4259513873926443E-2</v>
      </c>
      <c r="T27">
        <v>-0.18129033966773281</v>
      </c>
      <c r="U27">
        <v>-3.3406165158761263E-2</v>
      </c>
      <c r="V27">
        <v>2.2091297184970427E-2</v>
      </c>
      <c r="W27">
        <v>9.1939642810913297E-3</v>
      </c>
    </row>
    <row r="28" spans="1:23">
      <c r="R28">
        <v>-1.7560600342042043E-2</v>
      </c>
      <c r="S28">
        <v>1.2114936420863772E-2</v>
      </c>
      <c r="T28">
        <v>-0.16803292400081873</v>
      </c>
      <c r="U28">
        <v>-3.118359751599099E-2</v>
      </c>
      <c r="V28">
        <v>1.8211222194104894E-2</v>
      </c>
      <c r="W28">
        <v>7.780949018916461E-3</v>
      </c>
    </row>
    <row r="29" spans="1:23">
      <c r="R29">
        <v>-1.3722047132442131E-2</v>
      </c>
      <c r="S29">
        <v>1.044913595359029E-2</v>
      </c>
      <c r="T29">
        <v>-0.15668243053785361</v>
      </c>
      <c r="U29">
        <v>-2.9246658916852665E-2</v>
      </c>
      <c r="V29">
        <v>1.5238924413875332E-2</v>
      </c>
      <c r="W29">
        <v>6.6747576931121926E-3</v>
      </c>
    </row>
    <row r="30" spans="1:23">
      <c r="R30">
        <v>-1.0947074673881363E-2</v>
      </c>
      <c r="S30">
        <v>9.1252026225118119E-3</v>
      </c>
      <c r="T30">
        <v>-0.14683031435459334</v>
      </c>
      <c r="U30">
        <v>-2.7541022346416304E-2</v>
      </c>
      <c r="V30">
        <v>1.2909496157153082E-2</v>
      </c>
      <c r="W30">
        <v>5.7910555592725829E-3</v>
      </c>
    </row>
    <row r="31" spans="1:23">
      <c r="R31">
        <v>-8.8865652906299532E-3</v>
      </c>
      <c r="S31">
        <v>8.052705276763869E-3</v>
      </c>
      <c r="T31">
        <v>-0.13818055148329308</v>
      </c>
      <c r="U31">
        <v>-2.6025569241305845E-2</v>
      </c>
      <c r="V31">
        <v>1.1048962033452981E-2</v>
      </c>
      <c r="W31">
        <v>5.0729341503011737E-3</v>
      </c>
    </row>
    <row r="32" spans="1:23">
      <c r="R32">
        <v>-7.3215791435901128E-3</v>
      </c>
      <c r="S32">
        <v>7.1697702330435244E-3</v>
      </c>
      <c r="T32">
        <v>-0.13051273067773261</v>
      </c>
      <c r="U32">
        <v>-2.4668592088937815E-2</v>
      </c>
      <c r="V32">
        <v>9.5389749240560075E-3</v>
      </c>
      <c r="W32">
        <v>4.4807914065041381E-3</v>
      </c>
    </row>
    <row r="33" spans="18:23">
      <c r="R33">
        <v>-6.1097195435548873E-3</v>
      </c>
      <c r="S33">
        <v>6.4327884759000893E-3</v>
      </c>
      <c r="T33">
        <v>-0.12365893298743454</v>
      </c>
      <c r="U33">
        <v>-2.3445228902306891E-2</v>
      </c>
      <c r="V33">
        <v>8.296609889555601E-3</v>
      </c>
      <c r="W33">
        <v>3.9863331762687226E-3</v>
      </c>
    </row>
    <row r="34" spans="18:23">
      <c r="R34">
        <v>-5.1554494978343504E-3</v>
      </c>
      <c r="S34">
        <v>5.810235841715139E-3</v>
      </c>
      <c r="T34">
        <v>-0.11748869948396574</v>
      </c>
      <c r="U34">
        <v>-2.2335692728450117E-2</v>
      </c>
      <c r="V34">
        <v>7.2622750597724104E-3</v>
      </c>
      <c r="W34">
        <v>3.5688788097667347E-3</v>
      </c>
    </row>
    <row r="35" spans="18:23">
      <c r="R35">
        <v>-11.710100150571837</v>
      </c>
      <c r="S35">
        <v>0.79390509495402339</v>
      </c>
      <c r="T35">
        <v>-0.71436871325770668</v>
      </c>
      <c r="U35">
        <v>1.590727633926339E-2</v>
      </c>
      <c r="V35">
        <v>0.7812084483227949</v>
      </c>
      <c r="W35">
        <v>-0.15973253812714203</v>
      </c>
    </row>
    <row r="36" spans="18:23">
      <c r="R36">
        <v>-2.0875014591266985</v>
      </c>
      <c r="S36">
        <v>0.28209479177387808</v>
      </c>
      <c r="T36">
        <v>-0.4832876315575983</v>
      </c>
      <c r="U36">
        <v>-4.0238567956743999E-2</v>
      </c>
      <c r="V36">
        <v>0.27404707818252932</v>
      </c>
      <c r="W36">
        <v>2.6599936459118078E-2</v>
      </c>
    </row>
    <row r="37" spans="18:23">
      <c r="R37">
        <v>-0.75541476655969231</v>
      </c>
      <c r="S37">
        <v>0.15329724687795324</v>
      </c>
      <c r="T37">
        <v>-0.37945476233336001</v>
      </c>
      <c r="U37">
        <v>-4.5231503091081336E-2</v>
      </c>
      <c r="V37">
        <v>0.14527292790558996</v>
      </c>
      <c r="W37">
        <v>2.9088651635979772E-2</v>
      </c>
    </row>
    <row r="38" spans="18:23">
      <c r="R38">
        <v>-0.36594062970537022</v>
      </c>
      <c r="S38">
        <v>9.9238136869252924E-2</v>
      </c>
      <c r="T38">
        <v>-0.31741616578069487</v>
      </c>
      <c r="U38">
        <v>-4.3635605782288374E-2</v>
      </c>
      <c r="V38">
        <v>9.1503397081487775E-2</v>
      </c>
      <c r="W38">
        <v>2.3312205328194835E-2</v>
      </c>
    </row>
    <row r="39" spans="18:23">
      <c r="R39">
        <v>-0.20807460220953378</v>
      </c>
      <c r="S39">
        <v>7.0725561593995151E-2</v>
      </c>
      <c r="T39">
        <v>-0.27512537948195193</v>
      </c>
      <c r="U39">
        <v>-4.0879963577591355E-2</v>
      </c>
      <c r="V39">
        <v>6.3398275617604805E-2</v>
      </c>
      <c r="W39">
        <v>1.8388622455388248E-2</v>
      </c>
    </row>
    <row r="40" spans="18:23">
      <c r="R40">
        <v>-0.13094917426207039</v>
      </c>
      <c r="S40">
        <v>5.3570116743574224E-2</v>
      </c>
      <c r="T40">
        <v>-0.24398734745420989</v>
      </c>
      <c r="U40">
        <v>-3.8083446142127123E-2</v>
      </c>
      <c r="V40">
        <v>4.6667695738396457E-2</v>
      </c>
      <c r="W40">
        <v>1.4738168703586562E-2</v>
      </c>
    </row>
    <row r="41" spans="18:23">
      <c r="R41">
        <v>-8.8395368337073635E-2</v>
      </c>
      <c r="S41">
        <v>4.2319228612766061E-2</v>
      </c>
      <c r="T41">
        <v>-0.21986719180248354</v>
      </c>
      <c r="U41">
        <v>-3.5509592637943496E-2</v>
      </c>
      <c r="V41">
        <v>3.5821870493931152E-2</v>
      </c>
      <c r="W41">
        <v>1.2044040255156197E-2</v>
      </c>
    </row>
    <row r="42" spans="18:23">
      <c r="R42">
        <v>-6.2813360921624067E-2</v>
      </c>
      <c r="S42">
        <v>3.4477316457838247E-2</v>
      </c>
      <c r="T42">
        <v>-0.20049780265154626</v>
      </c>
      <c r="U42">
        <v>-3.3204097238741591E-2</v>
      </c>
      <c r="V42">
        <v>2.8353656756957491E-2</v>
      </c>
      <c r="W42">
        <v>1.001918288963635E-2</v>
      </c>
    </row>
    <row r="43" spans="18:23">
      <c r="R43">
        <v>-4.6420574940195483E-2</v>
      </c>
      <c r="S43">
        <v>2.8757679312855323E-2</v>
      </c>
      <c r="T43">
        <v>-0.18451899722565485</v>
      </c>
      <c r="U43">
        <v>-3.1152263582559896E-2</v>
      </c>
      <c r="V43">
        <v>2.2974568274543309E-2</v>
      </c>
      <c r="W43">
        <v>8.4640641382604832E-3</v>
      </c>
    </row>
    <row r="44" spans="18:23">
      <c r="R44">
        <v>-3.5384348188901182E-2</v>
      </c>
      <c r="S44">
        <v>2.4436704550346112E-2</v>
      </c>
      <c r="T44">
        <v>-0.17105895272198057</v>
      </c>
      <c r="U44">
        <v>-2.9324449634326896E-2</v>
      </c>
      <c r="V44">
        <v>1.8962801896286269E-2</v>
      </c>
      <c r="W44">
        <v>7.244977998130152E-3</v>
      </c>
    </row>
    <row r="45" spans="18:23">
      <c r="R45">
        <v>-2.7656006219237968E-2</v>
      </c>
      <c r="S45">
        <v>2.1079538598600272E-2</v>
      </c>
      <c r="T45">
        <v>-0.15952980581065435</v>
      </c>
      <c r="U45">
        <v>-2.7690053442410809E-2</v>
      </c>
      <c r="V45">
        <v>1.5886465814458843E-2</v>
      </c>
      <c r="W45">
        <v>6.2716300603160502E-3</v>
      </c>
    </row>
    <row r="46" spans="18:23">
      <c r="R46">
        <v>-2.2067385826356492E-2</v>
      </c>
      <c r="S46">
        <v>1.8410796981432984E-2</v>
      </c>
      <c r="T46">
        <v>-0.14951891654934049</v>
      </c>
      <c r="U46">
        <v>-2.6221623913581484E-2</v>
      </c>
      <c r="V46">
        <v>1.3473318815073906E-2</v>
      </c>
      <c r="W46">
        <v>5.4818538615928301E-3</v>
      </c>
    </row>
    <row r="47" spans="18:23">
      <c r="R47">
        <v>-1.7916630139443283E-2</v>
      </c>
      <c r="S47">
        <v>1.6248513515245044E-2</v>
      </c>
      <c r="T47">
        <v>-0.14072702793495445</v>
      </c>
      <c r="U47">
        <v>-2.4895702883941884E-2</v>
      </c>
      <c r="V47">
        <v>1.1544347782560815E-2</v>
      </c>
      <c r="W47">
        <v>4.8319079687432903E-3</v>
      </c>
    </row>
    <row r="48" spans="18:23">
      <c r="R48">
        <v>-1.4763413624478467E-2</v>
      </c>
      <c r="S48">
        <v>1.4468145351988888E-2</v>
      </c>
      <c r="T48">
        <v>-0.13293115597083344</v>
      </c>
      <c r="U48">
        <v>-2.3692602123768891E-2</v>
      </c>
      <c r="V48">
        <v>9.9776502761263451E-3</v>
      </c>
      <c r="W48">
        <v>4.2903550690142006E-3</v>
      </c>
    </row>
    <row r="49" spans="18:23">
      <c r="R49">
        <v>-1.2321255821007205E-2</v>
      </c>
      <c r="S49">
        <v>1.2981889766923996E-2</v>
      </c>
      <c r="T49">
        <v>-0.12596131463281754</v>
      </c>
      <c r="U49">
        <v>-2.2595884973178697E-2</v>
      </c>
      <c r="V49">
        <v>8.687732194914935E-3</v>
      </c>
      <c r="W49">
        <v>3.8341504849851412E-3</v>
      </c>
    </row>
    <row r="50" spans="18:23">
      <c r="R50">
        <v>-1.03978953552423E-2</v>
      </c>
      <c r="S50">
        <v>1.1726260841154306E-2</v>
      </c>
      <c r="T50">
        <v>-0.11968536756054945</v>
      </c>
      <c r="U50">
        <v>-2.1591821343879023E-2</v>
      </c>
      <c r="V50">
        <v>7.613106137098701E-3</v>
      </c>
      <c r="W50">
        <v>3.4460944510203329E-3</v>
      </c>
    </row>
    <row r="51" spans="18:23">
      <c r="R51">
        <v>-17.010357187932311</v>
      </c>
      <c r="S51">
        <v>1.1731280819263674</v>
      </c>
      <c r="T51">
        <v>-0.70890823037029038</v>
      </c>
      <c r="U51">
        <v>9.2843970311215468E-2</v>
      </c>
      <c r="V51">
        <v>0.75372905873609974</v>
      </c>
      <c r="W51">
        <v>-0.38732893516300676</v>
      </c>
    </row>
    <row r="52" spans="18:23">
      <c r="R52">
        <v>-3.0970534818940942</v>
      </c>
      <c r="S52">
        <v>0.42208565340975707</v>
      </c>
      <c r="T52">
        <v>-0.48593856254403239</v>
      </c>
      <c r="U52">
        <v>-1.2770581826855027E-2</v>
      </c>
      <c r="V52">
        <v>0.27461546270703618</v>
      </c>
      <c r="W52">
        <v>-1.5213473533514056E-2</v>
      </c>
    </row>
    <row r="53" spans="18:23">
      <c r="R53">
        <v>-1.1286142216063635</v>
      </c>
      <c r="S53">
        <v>0.23032943298089037</v>
      </c>
      <c r="T53">
        <v>-0.38324731949334651</v>
      </c>
      <c r="U53">
        <v>-3.0583577302491224E-2</v>
      </c>
      <c r="V53">
        <v>0.14743623986009535</v>
      </c>
      <c r="W53">
        <v>1.4131952439959716E-2</v>
      </c>
    </row>
    <row r="54" spans="18:23">
      <c r="R54">
        <v>-0.5486385926500168</v>
      </c>
      <c r="S54">
        <v>0.14941646778553647</v>
      </c>
      <c r="T54">
        <v>-0.32131861666140255</v>
      </c>
      <c r="U54">
        <v>-3.4380429775173194E-2</v>
      </c>
      <c r="V54">
        <v>9.3481974907584031E-2</v>
      </c>
      <c r="W54">
        <v>1.6224797576897734E-2</v>
      </c>
    </row>
    <row r="55" spans="18:23">
      <c r="R55">
        <v>-0.3126101696159293</v>
      </c>
      <c r="S55">
        <v>0.10662011242016683</v>
      </c>
      <c r="T55">
        <v>-0.27889348140312692</v>
      </c>
      <c r="U55">
        <v>-3.4454673796592006E-2</v>
      </c>
      <c r="V55">
        <v>6.5042101086820833E-2</v>
      </c>
      <c r="W55">
        <v>1.4464140152274181E-2</v>
      </c>
    </row>
    <row r="56" spans="18:23">
      <c r="R56">
        <v>-0.19701162841699227</v>
      </c>
      <c r="S56">
        <v>8.0825283453125008E-2</v>
      </c>
      <c r="T56">
        <v>-0.24755999593340555</v>
      </c>
      <c r="U56">
        <v>-3.3346942496056096E-2</v>
      </c>
      <c r="V56">
        <v>4.8022386637403373E-2</v>
      </c>
      <c r="W56">
        <v>1.2339066084311406E-2</v>
      </c>
    </row>
    <row r="57" spans="18:23">
      <c r="R57">
        <v>-0.13312222171428009</v>
      </c>
      <c r="S57">
        <v>6.3888235690496772E-2</v>
      </c>
      <c r="T57">
        <v>-0.22323709890211574</v>
      </c>
      <c r="U57">
        <v>-3.1869772642323789E-2</v>
      </c>
      <c r="V57">
        <v>3.6948353863567346E-2</v>
      </c>
      <c r="W57">
        <v>1.0473690639786707E-2</v>
      </c>
    </row>
    <row r="58" spans="18:23">
      <c r="R58">
        <v>-9.4666626795096465E-2</v>
      </c>
      <c r="S58">
        <v>5.2072747012343559E-2</v>
      </c>
      <c r="T58">
        <v>-0.20367481858157394</v>
      </c>
      <c r="U58">
        <v>-3.0320414313846071E-2</v>
      </c>
      <c r="V58">
        <v>2.9301991149780784E-2</v>
      </c>
      <c r="W58">
        <v>8.9386569726129274E-3</v>
      </c>
    </row>
    <row r="59" spans="18:23">
      <c r="R59">
        <v>-7.0001469909186556E-2</v>
      </c>
      <c r="S59">
        <v>4.3449188219495095E-2</v>
      </c>
      <c r="T59">
        <v>-0.18751797173634907</v>
      </c>
      <c r="U59">
        <v>-2.8813756703370785E-2</v>
      </c>
      <c r="V59">
        <v>2.3782696648582517E-2</v>
      </c>
      <c r="W59">
        <v>7.6917733783223976E-3</v>
      </c>
    </row>
    <row r="60" spans="18:23">
      <c r="R60">
        <v>-5.3383765208473669E-2</v>
      </c>
      <c r="S60">
        <v>3.6931003257332166E-2</v>
      </c>
      <c r="T60">
        <v>-0.17389539948049118</v>
      </c>
      <c r="U60">
        <v>-2.7392879244631796E-2</v>
      </c>
      <c r="V60">
        <v>1.9659127034897743E-2</v>
      </c>
      <c r="W60">
        <v>6.6762913623760935E-3</v>
      </c>
    </row>
    <row r="61" spans="18:23">
      <c r="R61">
        <v>-4.1739973379432284E-2</v>
      </c>
      <c r="S61">
        <v>3.1864585355907291E-2</v>
      </c>
      <c r="T61">
        <v>-0.16221835111268651</v>
      </c>
      <c r="U61">
        <v>-2.6070753151355847E-2</v>
      </c>
      <c r="V61">
        <v>1.6492391151571129E-2</v>
      </c>
      <c r="W61">
        <v>5.8427293100817681E-3</v>
      </c>
    </row>
    <row r="62" spans="18:23">
      <c r="R62">
        <v>-3.3315843117902491E-2</v>
      </c>
      <c r="S62">
        <v>2.7835691377881958E-2</v>
      </c>
      <c r="T62">
        <v>-0.15207281219714144</v>
      </c>
      <c r="U62">
        <v>-2.484742416385189E-2</v>
      </c>
      <c r="V62">
        <v>1.4005178123152497E-2</v>
      </c>
      <c r="W62">
        <v>5.1519917255874476E-3</v>
      </c>
    </row>
    <row r="63" spans="18:23">
      <c r="R63">
        <v>-2.7056544273727806E-2</v>
      </c>
      <c r="S63">
        <v>2.4570424407630291E-2</v>
      </c>
      <c r="T63">
        <v>-0.1431580817043544</v>
      </c>
      <c r="U63">
        <v>-2.371753145934483E-2</v>
      </c>
      <c r="V63">
        <v>1.201478317589939E-2</v>
      </c>
      <c r="W63">
        <v>4.5740710601539182E-3</v>
      </c>
    </row>
    <row r="64" spans="18:23">
      <c r="R64">
        <v>-2.2299866228458969E-2</v>
      </c>
      <c r="S64">
        <v>2.1881220429426564E-2</v>
      </c>
      <c r="T64">
        <v>-0.13524982121512494</v>
      </c>
      <c r="U64">
        <v>-2.2673720157139674E-2</v>
      </c>
      <c r="V64">
        <v>1.039658400446172E-2</v>
      </c>
      <c r="W64">
        <v>4.0860628772142098E-3</v>
      </c>
    </row>
    <row r="65" spans="18:23">
      <c r="R65">
        <v>-1.8614725407329034E-2</v>
      </c>
      <c r="S65">
        <v>1.9635786294650868E-2</v>
      </c>
      <c r="T65">
        <v>-0.1281768321244518</v>
      </c>
      <c r="U65">
        <v>-2.1708209165960179E-2</v>
      </c>
      <c r="V65">
        <v>9.0630549439562925E-3</v>
      </c>
      <c r="W65">
        <v>3.6704181827491617E-3</v>
      </c>
    </row>
    <row r="66" spans="18:23">
      <c r="R66">
        <v>-1.5711675456114543E-2</v>
      </c>
      <c r="S66">
        <v>1.7738429621897783E-2</v>
      </c>
      <c r="T66">
        <v>-0.12180591521668069</v>
      </c>
      <c r="U66">
        <v>-2.0813497118956577E-2</v>
      </c>
      <c r="V66">
        <v>7.9511698054963772E-3</v>
      </c>
      <c r="W66">
        <v>3.3135870702246436E-3</v>
      </c>
    </row>
    <row r="67" spans="18:23">
      <c r="R67">
        <v>-21.586550355065636</v>
      </c>
      <c r="S67">
        <v>1.5255512618420961</v>
      </c>
      <c r="T67">
        <v>-0.69592868580222367</v>
      </c>
      <c r="U67">
        <v>0.16592451520797458</v>
      </c>
      <c r="V67">
        <v>0.70442745825211672</v>
      </c>
      <c r="W67">
        <v>-0.59443021655746631</v>
      </c>
    </row>
    <row r="68" spans="18:23">
      <c r="R68">
        <v>-4.049674574609897</v>
      </c>
      <c r="S68">
        <v>0.55857580339446833</v>
      </c>
      <c r="T68">
        <v>-0.48584680848837297</v>
      </c>
      <c r="U68">
        <v>1.4545798981219124E-2</v>
      </c>
      <c r="V68">
        <v>0.27102554542558871</v>
      </c>
      <c r="W68">
        <v>-5.6392899986987002E-2</v>
      </c>
    </row>
    <row r="69" spans="18:23">
      <c r="R69">
        <v>-1.4903899002023242</v>
      </c>
      <c r="S69">
        <v>0.30659449375590647</v>
      </c>
      <c r="T69">
        <v>-0.38556676960705605</v>
      </c>
      <c r="U69">
        <v>-1.5794455170229905E-2</v>
      </c>
      <c r="V69">
        <v>0.14809439255220119</v>
      </c>
      <c r="W69">
        <v>-9.7243875542687964E-4</v>
      </c>
    </row>
    <row r="70" spans="18:23">
      <c r="R70">
        <v>-0.72806966173261456</v>
      </c>
      <c r="S70">
        <v>0.19947114020071632</v>
      </c>
      <c r="T70">
        <v>-0.32428684617833348</v>
      </c>
      <c r="U70">
        <v>-2.4963141195523425E-2</v>
      </c>
      <c r="V70">
        <v>9.4742941861253469E-2</v>
      </c>
      <c r="W70">
        <v>8.9750313622148862E-3</v>
      </c>
    </row>
    <row r="71" spans="18:23">
      <c r="R71">
        <v>-0.41606965591459816</v>
      </c>
      <c r="S71">
        <v>0.14258727070411176</v>
      </c>
      <c r="T71">
        <v>-0.28201149490599464</v>
      </c>
      <c r="U71">
        <v>-2.7884844840376573E-2</v>
      </c>
      <c r="V71">
        <v>6.6287015466796995E-2</v>
      </c>
      <c r="W71">
        <v>1.0417064660933494E-2</v>
      </c>
    </row>
    <row r="72" spans="18:23">
      <c r="R72">
        <v>-0.2627268538402906</v>
      </c>
      <c r="S72">
        <v>0.10821701073513107</v>
      </c>
      <c r="T72">
        <v>-0.25065262442251296</v>
      </c>
      <c r="U72">
        <v>-2.8487122737476365E-2</v>
      </c>
      <c r="V72">
        <v>4.9132527558304467E-2</v>
      </c>
      <c r="W72">
        <v>9.8505537362687037E-3</v>
      </c>
    </row>
    <row r="73" spans="18:23">
      <c r="R73">
        <v>-0.17777449020039635</v>
      </c>
      <c r="S73">
        <v>8.5611302406087622E-2</v>
      </c>
      <c r="T73">
        <v>-0.226237656201207</v>
      </c>
      <c r="U73">
        <v>-2.8125270759023865E-2</v>
      </c>
      <c r="V73">
        <v>3.7914408214719787E-2</v>
      </c>
      <c r="W73">
        <v>8.8373492986086738E-3</v>
      </c>
    </row>
    <row r="74" spans="18:23">
      <c r="R74">
        <v>-0.12655233045655928</v>
      </c>
      <c r="S74">
        <v>6.9821975424308569E-2</v>
      </c>
      <c r="T74">
        <v>-0.2065589067911387</v>
      </c>
      <c r="U74">
        <v>-2.7347386273366019E-2</v>
      </c>
      <c r="V74">
        <v>3.0139730211724163E-2</v>
      </c>
      <c r="W74">
        <v>7.8084064156647036E-3</v>
      </c>
    </row>
    <row r="75" spans="18:23">
      <c r="R75">
        <v>-9.36555629641838E-2</v>
      </c>
      <c r="S75">
        <v>5.8287365348435538E-2</v>
      </c>
      <c r="T75">
        <v>-0.19027918527983143</v>
      </c>
      <c r="U75">
        <v>-2.6398363986279164E-2</v>
      </c>
      <c r="V75">
        <v>2.4511647269722332E-2</v>
      </c>
      <c r="W75">
        <v>6.8812214873790094E-3</v>
      </c>
    </row>
    <row r="76" spans="18:23">
      <c r="R76">
        <v>-7.1469051244702958E-2</v>
      </c>
      <c r="S76">
        <v>4.9562448852082469E-2</v>
      </c>
      <c r="T76">
        <v>-0.17653530364081271</v>
      </c>
      <c r="U76">
        <v>-2.5394570957746044E-2</v>
      </c>
      <c r="V76">
        <v>2.0297059620717019E-2</v>
      </c>
      <c r="W76">
        <v>6.0775948414002016E-3</v>
      </c>
    </row>
    <row r="77" spans="18:23">
      <c r="R77">
        <v>-5.5910314189556241E-2</v>
      </c>
      <c r="S77">
        <v>4.2776781643606092E-2</v>
      </c>
      <c r="T77">
        <v>-0.16474200926364765</v>
      </c>
      <c r="U77">
        <v>-2.4393045524008311E-2</v>
      </c>
      <c r="V77">
        <v>1.7054213483374558E-2</v>
      </c>
      <c r="W77">
        <v>5.3898875201534814E-3</v>
      </c>
    </row>
    <row r="78" spans="18:23">
      <c r="R78">
        <v>-4.4646041303951771E-2</v>
      </c>
      <c r="S78">
        <v>3.7378081091680532E-2</v>
      </c>
      <c r="T78">
        <v>-0.15448668437474744</v>
      </c>
      <c r="U78">
        <v>-2.3421720656613368E-2</v>
      </c>
      <c r="V78">
        <v>1.4503070829073336E-2</v>
      </c>
      <c r="W78">
        <v>4.8027431813690768E-3</v>
      </c>
    </row>
    <row r="79" spans="18:23">
      <c r="R79">
        <v>-3.6271640889420774E-2</v>
      </c>
      <c r="S79">
        <v>3.3000846892662763E-2</v>
      </c>
      <c r="T79">
        <v>-0.14546900980163574</v>
      </c>
      <c r="U79">
        <v>-2.2493632581794595E-2</v>
      </c>
      <c r="V79">
        <v>1.2458631733101643E-2</v>
      </c>
      <c r="W79">
        <v>4.3003289733649606E-3</v>
      </c>
    </row>
    <row r="80" spans="18:23">
      <c r="R80">
        <v>-2.9904501624196018E-2</v>
      </c>
      <c r="S80">
        <v>2.9394595377845622E-2</v>
      </c>
      <c r="T80">
        <v>-0.13746453820137139</v>
      </c>
      <c r="U80">
        <v>-2.1613988564705148E-2</v>
      </c>
      <c r="V80">
        <v>1.0794422767093862E-2</v>
      </c>
      <c r="W80">
        <v>3.8685702029465281E-3</v>
      </c>
    </row>
    <row r="81" spans="18:23">
      <c r="R81">
        <v>-2.4969609516795412E-2</v>
      </c>
      <c r="S81">
        <v>2.6382541165902631E-2</v>
      </c>
      <c r="T81">
        <v>-0.13030173317779895</v>
      </c>
      <c r="U81">
        <v>-2.0783838402379261E-2</v>
      </c>
      <c r="V81">
        <v>9.4214468395753675E-3</v>
      </c>
      <c r="W81">
        <v>3.4956177265898928E-3</v>
      </c>
    </row>
    <row r="82" spans="18:23">
      <c r="R82">
        <v>-2.108061558111881E-2</v>
      </c>
      <c r="S82">
        <v>2.3836738466282752E-2</v>
      </c>
      <c r="T82">
        <v>-0.12384696261143741</v>
      </c>
      <c r="U82">
        <v>-2.0002044829030927E-2</v>
      </c>
      <c r="V82">
        <v>8.2755113443294306E-3</v>
      </c>
      <c r="W82">
        <v>3.1717147537831283E-3</v>
      </c>
    </row>
    <row r="83" spans="18:23">
      <c r="R83">
        <v>-25.226504610777621</v>
      </c>
      <c r="S83">
        <v>1.8413507015166162</v>
      </c>
      <c r="T83">
        <v>-0.67592096662085532</v>
      </c>
      <c r="U83">
        <v>0.2330859469791523</v>
      </c>
      <c r="V83">
        <v>0.63584941388114724</v>
      </c>
      <c r="W83">
        <v>-0.77140925956387851</v>
      </c>
    </row>
    <row r="84" spans="18:23">
      <c r="R84">
        <v>-4.9216369243564104</v>
      </c>
      <c r="S84">
        <v>0.68954632915676473</v>
      </c>
      <c r="T84">
        <v>-0.48304817276153561</v>
      </c>
      <c r="U84">
        <v>4.1299631279045866E-2</v>
      </c>
      <c r="V84">
        <v>0.26339206804381216</v>
      </c>
      <c r="W84">
        <v>-9.5918820324520412E-2</v>
      </c>
    </row>
    <row r="85" spans="18:23">
      <c r="R85">
        <v>-1.8346291027463804</v>
      </c>
      <c r="S85">
        <v>0.38133168417361235</v>
      </c>
      <c r="T85">
        <v>-0.38640653291957522</v>
      </c>
      <c r="U85">
        <v>-1.0149697491925673E-3</v>
      </c>
      <c r="V85">
        <v>0.14724525726395823</v>
      </c>
      <c r="W85">
        <v>-1.5971789150998623E-2</v>
      </c>
    </row>
    <row r="86" spans="18:23">
      <c r="R86">
        <v>-0.9019462821012334</v>
      </c>
      <c r="S86">
        <v>0.24902744630922746</v>
      </c>
      <c r="T86">
        <v>-0.32630825440988792</v>
      </c>
      <c r="U86">
        <v>-1.5456161620132077E-2</v>
      </c>
      <c r="V86">
        <v>9.5274608968118471E-2</v>
      </c>
      <c r="W86">
        <v>1.6541289827664239E-3</v>
      </c>
    </row>
    <row r="87" spans="18:23">
      <c r="R87">
        <v>-0.51739599368430378</v>
      </c>
      <c r="S87">
        <v>0.1784124116152771</v>
      </c>
      <c r="T87">
        <v>-0.2844669793827927</v>
      </c>
      <c r="U87">
        <v>-2.1210913553503116E-2</v>
      </c>
      <c r="V87">
        <v>6.7122781935410214E-2</v>
      </c>
      <c r="W87">
        <v>6.2880599224709611E-3</v>
      </c>
    </row>
    <row r="88" spans="18:23">
      <c r="R88">
        <v>-0.32753549254299424</v>
      </c>
      <c r="S88">
        <v>0.13560986465264849</v>
      </c>
      <c r="T88">
        <v>-0.25325413810809483</v>
      </c>
      <c r="U88">
        <v>-2.3528854691089267E-2</v>
      </c>
      <c r="V88">
        <v>4.9990207805017048E-2</v>
      </c>
      <c r="W88">
        <v>7.2933781493200317E-3</v>
      </c>
    </row>
    <row r="89" spans="18:23">
      <c r="R89">
        <v>-0.22202686874142252</v>
      </c>
      <c r="S89">
        <v>0.10739700462319543</v>
      </c>
      <c r="T89">
        <v>-0.22885920817746261</v>
      </c>
      <c r="U89">
        <v>-2.4292440710853441E-2</v>
      </c>
      <c r="V89">
        <v>3.871401087638289E-2</v>
      </c>
      <c r="W89">
        <v>7.146639210837618E-3</v>
      </c>
    </row>
    <row r="90" spans="18:23">
      <c r="R90">
        <v>-0.15826765187737898</v>
      </c>
      <c r="S90">
        <v>8.7660144700582046E-2</v>
      </c>
      <c r="T90">
        <v>-0.20914169374697461</v>
      </c>
      <c r="U90">
        <v>-2.4296309809278507E-2</v>
      </c>
      <c r="V90">
        <v>3.0862247003631472E-2</v>
      </c>
      <c r="W90">
        <v>6.6354045399262462E-3</v>
      </c>
    </row>
    <row r="91" spans="18:23">
      <c r="R91">
        <v>-0.1172494644784878</v>
      </c>
      <c r="S91">
        <v>7.3224414978855124E-2</v>
      </c>
      <c r="T91">
        <v>-0.19279535135757664</v>
      </c>
      <c r="U91">
        <v>-2.3914187275744299E-2</v>
      </c>
      <c r="V91">
        <v>2.5157812225094126E-2</v>
      </c>
      <c r="W91">
        <v>6.0368161420124942E-3</v>
      </c>
    </row>
    <row r="92" spans="18:23">
      <c r="R92">
        <v>-8.9548691138091802E-2</v>
      </c>
      <c r="S92">
        <v>6.2294741661281239E-2</v>
      </c>
      <c r="T92">
        <v>-0.17897228825906356</v>
      </c>
      <c r="U92">
        <v>-2.3335509319556465E-2</v>
      </c>
      <c r="V92">
        <v>2.0873742217214015E-2</v>
      </c>
      <c r="W92">
        <v>5.4517906474990697E-3</v>
      </c>
    </row>
    <row r="93" spans="18:23">
      <c r="R93">
        <v>-7.0102051645466373E-2</v>
      </c>
      <c r="S93">
        <v>5.3787877292970382E-2</v>
      </c>
      <c r="T93">
        <v>-0.16709516395455265</v>
      </c>
      <c r="U93">
        <v>-2.2661457332316455E-2</v>
      </c>
      <c r="V93">
        <v>1.7569636293920908E-2</v>
      </c>
      <c r="W93">
        <v>4.9150792358704856E-3</v>
      </c>
    </row>
    <row r="94" spans="18:23">
      <c r="R94">
        <v>-5.6010517555493348E-2</v>
      </c>
      <c r="S94">
        <v>4.7015532078059093E-2</v>
      </c>
      <c r="T94">
        <v>-0.15675555571427957</v>
      </c>
      <c r="U94">
        <v>-2.1948004727244085E-2</v>
      </c>
      <c r="V94">
        <v>1.4965126426685516E-2</v>
      </c>
      <c r="W94">
        <v>4.4354879292319987E-3</v>
      </c>
    </row>
    <row r="95" spans="18:23">
      <c r="R95">
        <v>-4.552641266988075E-2</v>
      </c>
      <c r="S95">
        <v>4.1521660772853984E-2</v>
      </c>
      <c r="T95">
        <v>-0.14765537502645834</v>
      </c>
      <c r="U95">
        <v>-2.1226742850720869E-2</v>
      </c>
      <c r="V95">
        <v>1.2874351563894089E-2</v>
      </c>
      <c r="W95">
        <v>4.0116671896998262E-3</v>
      </c>
    </row>
    <row r="96" spans="18:23">
      <c r="R96">
        <v>-3.7550209972391023E-2</v>
      </c>
      <c r="S96">
        <v>3.6993421234423909E-2</v>
      </c>
      <c r="T96">
        <v>-0.13957132961278282</v>
      </c>
      <c r="U96">
        <v>-2.051558167567178E-2</v>
      </c>
      <c r="V96">
        <v>1.1169881860220662E-2</v>
      </c>
      <c r="W96">
        <v>3.6385939272817994E-3</v>
      </c>
    </row>
    <row r="97" spans="18:23">
      <c r="R97">
        <v>-3.1364842793878314E-2</v>
      </c>
      <c r="S97">
        <v>3.3209833546459372E-2</v>
      </c>
      <c r="T97">
        <v>-0.13233243477470841</v>
      </c>
      <c r="U97">
        <v>-1.9824520245649804E-2</v>
      </c>
      <c r="V97">
        <v>9.7618271500732479E-3</v>
      </c>
      <c r="W97">
        <v>3.3102786239143241E-3</v>
      </c>
    </row>
    <row r="98" spans="18:23">
      <c r="R98">
        <v>-2.6488094455970456E-2</v>
      </c>
      <c r="S98">
        <v>3.001085275825818E-2</v>
      </c>
      <c r="T98">
        <v>-0.12580526709375206</v>
      </c>
      <c r="U98">
        <v>-1.9158882867098773E-2</v>
      </c>
      <c r="V98">
        <v>8.5852137553095679E-3</v>
      </c>
      <c r="W98">
        <v>3.020873627535928E-3</v>
      </c>
    </row>
    <row r="99" spans="18:23">
      <c r="R99">
        <v>-27.777954281703202</v>
      </c>
      <c r="S99">
        <v>2.1123919605857964</v>
      </c>
      <c r="T99">
        <v>-0.64956800231296663</v>
      </c>
      <c r="U99">
        <v>0.29256479165456606</v>
      </c>
      <c r="V99">
        <v>0.55140441580093214</v>
      </c>
      <c r="W99">
        <v>-0.91070856445628068</v>
      </c>
    </row>
    <row r="100" spans="18:23">
      <c r="R100">
        <v>-5.691707632300532</v>
      </c>
      <c r="S100">
        <v>0.81310109032864697</v>
      </c>
      <c r="T100">
        <v>-0.4776188115500733</v>
      </c>
      <c r="U100">
        <v>6.7096455755714782E-2</v>
      </c>
      <c r="V100">
        <v>0.25192894431421281</v>
      </c>
      <c r="W100">
        <v>-0.13283299015787928</v>
      </c>
    </row>
    <row r="101" spans="18:23">
      <c r="R101">
        <v>-2.1555526074790476</v>
      </c>
      <c r="S101">
        <v>0.45380054894295707</v>
      </c>
      <c r="T101">
        <v>-0.38577508157126872</v>
      </c>
      <c r="U101">
        <v>1.3605093474337686E-2</v>
      </c>
      <c r="V101">
        <v>0.14491185736366077</v>
      </c>
      <c r="W101">
        <v>-3.0616767288442901E-2</v>
      </c>
    </row>
    <row r="102" spans="18:23">
      <c r="R102">
        <v>-1.0680504480553348</v>
      </c>
      <c r="S102">
        <v>0.29771441060775877</v>
      </c>
      <c r="T102">
        <v>-0.32737752677549181</v>
      </c>
      <c r="U102">
        <v>-5.9326232335465976E-3</v>
      </c>
      <c r="V102">
        <v>9.5074468116466013E-2</v>
      </c>
      <c r="W102">
        <v>-5.6457833887161432E-3</v>
      </c>
    </row>
    <row r="103" spans="18:23">
      <c r="R103">
        <v>-0.61554924762965058</v>
      </c>
      <c r="S103">
        <v>0.21388090605616758</v>
      </c>
      <c r="T103">
        <v>-0.28625158226828684</v>
      </c>
      <c r="U103">
        <v>-1.4474135242423844E-2</v>
      </c>
      <c r="V103">
        <v>6.7543284679346421E-2</v>
      </c>
      <c r="W103">
        <v>2.1187857520248436E-3</v>
      </c>
    </row>
    <row r="104" spans="18:23">
      <c r="R104">
        <v>-0.39088200952233615</v>
      </c>
      <c r="S104">
        <v>0.16286750396763996</v>
      </c>
      <c r="T104">
        <v>-0.25535596502170832</v>
      </c>
      <c r="U104">
        <v>-1.8497692210813658E-2</v>
      </c>
      <c r="V104">
        <v>5.058962954705061E-2</v>
      </c>
      <c r="W104">
        <v>4.6890091104887866E-3</v>
      </c>
    </row>
    <row r="105" spans="18:23">
      <c r="R105">
        <v>-0.26555410584794298</v>
      </c>
      <c r="S105">
        <v>0.12915286537517812</v>
      </c>
      <c r="T105">
        <v>-0.23109376283479455</v>
      </c>
      <c r="U105">
        <v>-2.0388179491923272E-2</v>
      </c>
      <c r="V105">
        <v>3.9342327413460949E-2</v>
      </c>
      <c r="W105">
        <v>5.4136824496428867E-3</v>
      </c>
    </row>
    <row r="106" spans="18:23">
      <c r="R106">
        <v>-0.18960878961766439</v>
      </c>
      <c r="S106">
        <v>0.10552141335243929</v>
      </c>
      <c r="T106">
        <v>-0.21141595754228959</v>
      </c>
      <c r="U106">
        <v>-2.1178908837970051E-2</v>
      </c>
      <c r="V106">
        <v>3.146562974998128E-2</v>
      </c>
      <c r="W106">
        <v>5.4269710153949892E-3</v>
      </c>
    </row>
    <row r="107" spans="18:23">
      <c r="R107">
        <v>-0.14064861867395359</v>
      </c>
      <c r="S107">
        <v>8.8211677217113732E-2</v>
      </c>
      <c r="T107">
        <v>-0.19506001094982126</v>
      </c>
      <c r="U107">
        <v>-2.1369666746541498E-2</v>
      </c>
      <c r="V107">
        <v>2.5718036904510362E-2</v>
      </c>
      <c r="W107">
        <v>5.1632099758392126E-3</v>
      </c>
    </row>
    <row r="108" spans="18:23">
      <c r="R108">
        <v>-0.10753008233042653</v>
      </c>
      <c r="S108">
        <v>7.5090839616219637E-2</v>
      </c>
      <c r="T108">
        <v>-0.18120058864180413</v>
      </c>
      <c r="U108">
        <v>-2.1221949805116883E-2</v>
      </c>
      <c r="V108">
        <v>2.1386616627979596E-2</v>
      </c>
      <c r="W108">
        <v>4.8019579917145741E-3</v>
      </c>
    </row>
    <row r="109" spans="18:23">
      <c r="R109">
        <v>-8.4249268532770122E-2</v>
      </c>
      <c r="S109">
        <v>6.4868988179861156E-2</v>
      </c>
      <c r="T109">
        <v>-0.16927266270150559</v>
      </c>
      <c r="U109">
        <v>-2.0880734904328877E-2</v>
      </c>
      <c r="V109">
        <v>1.8036567153450322E-2</v>
      </c>
      <c r="W109">
        <v>4.4204095635230365E-3</v>
      </c>
    </row>
    <row r="110" spans="18:23">
      <c r="R110">
        <v>-6.7361018983720197E-2</v>
      </c>
      <c r="S110">
        <v>5.6725068617869613E-2</v>
      </c>
      <c r="T110">
        <v>-0.15887480709979013</v>
      </c>
      <c r="U110">
        <v>-2.0429947696384093E-2</v>
      </c>
      <c r="V110">
        <v>1.5389617352858419E-2</v>
      </c>
      <c r="W110">
        <v>4.0517038151784458E-3</v>
      </c>
    </row>
    <row r="111" spans="18:23">
      <c r="R111">
        <v>-5.4784695177926598E-2</v>
      </c>
      <c r="S111">
        <v>5.0114281380620254E-2</v>
      </c>
      <c r="T111">
        <v>-0.14971302138043868</v>
      </c>
      <c r="U111">
        <v>-1.9919747999963683E-2</v>
      </c>
      <c r="V111">
        <v>1.3260503121236082E-2</v>
      </c>
      <c r="W111">
        <v>3.7091462358534366E-3</v>
      </c>
    </row>
    <row r="112" spans="18:23">
      <c r="R112">
        <v>-4.5209335962170291E-2</v>
      </c>
      <c r="S112">
        <v>4.4662448833595637E-2</v>
      </c>
      <c r="T112">
        <v>-0.14156644186705852</v>
      </c>
      <c r="U112">
        <v>-1.9380798606692576E-2</v>
      </c>
      <c r="V112">
        <v>1.152175120986303E-2</v>
      </c>
      <c r="W112">
        <v>3.3969091943917211E-3</v>
      </c>
    </row>
    <row r="113" spans="18:23">
      <c r="R113">
        <v>-3.7778906166699495E-2</v>
      </c>
      <c r="S113">
        <v>4.0104995930678858E-2</v>
      </c>
      <c r="T113">
        <v>-0.13426553396681876</v>
      </c>
      <c r="U113">
        <v>-1.883210760722797E-2</v>
      </c>
      <c r="V113">
        <v>1.0083170406615504E-2</v>
      </c>
      <c r="W113">
        <v>3.1149762365446265E-3</v>
      </c>
    </row>
    <row r="114" spans="18:23">
      <c r="R114">
        <v>-3.1917111887461748E-2</v>
      </c>
      <c r="S114">
        <v>3.6250135950267104E-2</v>
      </c>
      <c r="T114">
        <v>-0.12767773236928512</v>
      </c>
      <c r="U114">
        <v>-1.8285519283803595E-2</v>
      </c>
      <c r="V114">
        <v>8.8794014927066553E-3</v>
      </c>
      <c r="W114">
        <v>2.8614963491352687E-3</v>
      </c>
    </row>
    <row r="115" spans="18:23">
      <c r="R115">
        <v>-29.157152753032435</v>
      </c>
      <c r="S115">
        <v>2.3325722202425969</v>
      </c>
      <c r="T115">
        <v>-0.61771086295621225</v>
      </c>
      <c r="U115">
        <v>0.34297227145727704</v>
      </c>
      <c r="V115">
        <v>0.45513499364594273</v>
      </c>
      <c r="W115">
        <v>-1.0072812924021819</v>
      </c>
    </row>
    <row r="116" spans="18:23">
      <c r="R116">
        <v>-6.3418657834080339</v>
      </c>
      <c r="S116">
        <v>0.92751236320409969</v>
      </c>
      <c r="T116">
        <v>-0.46967310121298173</v>
      </c>
      <c r="U116">
        <v>9.156785239822364E-2</v>
      </c>
      <c r="V116">
        <v>0.23694148466346832</v>
      </c>
      <c r="W116">
        <v>-0.16627080101967937</v>
      </c>
    </row>
    <row r="117" spans="18:23">
      <c r="R117">
        <v>-2.4478489994929471</v>
      </c>
      <c r="S117">
        <v>0.5232931352835275</v>
      </c>
      <c r="T117">
        <v>-0.38369570989039409</v>
      </c>
      <c r="U117">
        <v>2.791948507862671E-2</v>
      </c>
      <c r="V117">
        <v>0.14114173777488678</v>
      </c>
      <c r="W117">
        <v>-4.4667216814042322E-2</v>
      </c>
    </row>
    <row r="118" spans="18:23">
      <c r="R118">
        <v>-1.2242727672121787</v>
      </c>
      <c r="S118">
        <v>0.34516941454440275</v>
      </c>
      <c r="T118">
        <v>-0.32749665910866671</v>
      </c>
      <c r="U118">
        <v>3.5345510871472299E-3</v>
      </c>
      <c r="V118">
        <v>9.4149201726235615E-2</v>
      </c>
      <c r="W118">
        <v>-1.2833289699656379E-2</v>
      </c>
    </row>
    <row r="119" spans="18:23">
      <c r="R119">
        <v>-0.70952130811873715</v>
      </c>
      <c r="S119">
        <v>0.24878026231372261</v>
      </c>
      <c r="T119">
        <v>-0.28736110013915678</v>
      </c>
      <c r="U119">
        <v>-7.716167565086824E-3</v>
      </c>
      <c r="V119">
        <v>6.7546599335250743E-2</v>
      </c>
      <c r="W119">
        <v>-2.0486869373005936E-3</v>
      </c>
    </row>
    <row r="120" spans="18:23">
      <c r="R120">
        <v>-0.45222122920973495</v>
      </c>
      <c r="S120">
        <v>0.18985381051370789</v>
      </c>
      <c r="T120">
        <v>-0.25695211396828466</v>
      </c>
      <c r="U120">
        <v>-1.3419660690915346E-2</v>
      </c>
      <c r="V120">
        <v>5.0927167687830635E-2</v>
      </c>
      <c r="W120">
        <v>2.059389092324644E-3</v>
      </c>
    </row>
    <row r="121" spans="18:23">
      <c r="R121">
        <v>-0.30803427506489789</v>
      </c>
      <c r="S121">
        <v>0.15078600877302686</v>
      </c>
      <c r="T121">
        <v>-0.23293504001105317</v>
      </c>
      <c r="U121">
        <v>-1.6429806247605254E-2</v>
      </c>
      <c r="V121">
        <v>3.9795755542772343E-2</v>
      </c>
      <c r="W121">
        <v>3.6509794293251305E-3</v>
      </c>
    </row>
    <row r="122" spans="18:23">
      <c r="R122">
        <v>-0.22037274749342955</v>
      </c>
      <c r="S122">
        <v>0.12333936020620455</v>
      </c>
      <c r="T122">
        <v>-0.21337566698826266</v>
      </c>
      <c r="U122">
        <v>-1.8007261356411623E-2</v>
      </c>
      <c r="V122">
        <v>3.1946713331005912E-2</v>
      </c>
      <c r="W122">
        <v>4.1907084460968353E-3</v>
      </c>
    </row>
    <row r="123" spans="18:23">
      <c r="R123">
        <v>-0.16371834719679929</v>
      </c>
      <c r="S123">
        <v>0.10319989200732094</v>
      </c>
      <c r="T123">
        <v>-0.19706756404271028</v>
      </c>
      <c r="U123">
        <v>-1.8773534407077852E-2</v>
      </c>
      <c r="V123">
        <v>2.6189642735946768E-2</v>
      </c>
      <c r="W123">
        <v>4.2652650147605676E-3</v>
      </c>
    </row>
    <row r="124" spans="18:23">
      <c r="R124">
        <v>-0.12532017778262564</v>
      </c>
      <c r="S124">
        <v>8.7913137693879775E-2</v>
      </c>
      <c r="T124">
        <v>-0.18321507791411004</v>
      </c>
      <c r="U124">
        <v>-1.9060388044046042E-2</v>
      </c>
      <c r="V124">
        <v>2.1833440558462584E-2</v>
      </c>
      <c r="W124">
        <v>4.1313320830663313E-3</v>
      </c>
    </row>
    <row r="125" spans="18:23">
      <c r="R125">
        <v>-9.8285521043209464E-2</v>
      </c>
      <c r="S125">
        <v>7.5990722340117209E-2</v>
      </c>
      <c r="T125">
        <v>-0.17126983775964444</v>
      </c>
      <c r="U125">
        <v>-1.9055823083905441E-2</v>
      </c>
      <c r="V125">
        <v>1.8453130136375336E-2</v>
      </c>
      <c r="W125">
        <v>3.9081012468175046E-3</v>
      </c>
    </row>
    <row r="126" spans="18:23">
      <c r="R126">
        <v>-7.8648778457860544E-2</v>
      </c>
      <c r="S126">
        <v>6.6483264443392504E-2</v>
      </c>
      <c r="T126">
        <v>-0.16084019493505008</v>
      </c>
      <c r="U126">
        <v>-1.88713860983315E-2</v>
      </c>
      <c r="V126">
        <v>1.57749683964265E-2</v>
      </c>
      <c r="W126">
        <v>3.6529586064158693E-3</v>
      </c>
    </row>
    <row r="127" spans="18:23">
      <c r="R127">
        <v>-6.4009856422937994E-2</v>
      </c>
      <c r="S127">
        <v>5.8759726971626916E-2</v>
      </c>
      <c r="T127">
        <v>-0.15163808845658544</v>
      </c>
      <c r="U127">
        <v>-1.8575672296991707E-2</v>
      </c>
      <c r="V127">
        <v>1.3615756440804592E-2</v>
      </c>
      <c r="W127">
        <v>3.3938963033974794E-3</v>
      </c>
    </row>
    <row r="128" spans="18:23">
      <c r="R128">
        <v>-5.285381249925715E-2</v>
      </c>
      <c r="S128">
        <v>5.2386079645281407E-2</v>
      </c>
      <c r="T128">
        <v>-0.14344635721241775</v>
      </c>
      <c r="U128">
        <v>-1.8212055513427267E-2</v>
      </c>
      <c r="V128">
        <v>1.1848901020990621E-2</v>
      </c>
      <c r="W128">
        <v>3.144345810381928E-3</v>
      </c>
    </row>
    <row r="129" spans="18:23">
      <c r="R129">
        <v>-4.4189923247386818E-2</v>
      </c>
      <c r="S129">
        <v>4.7055053150317223E-2</v>
      </c>
      <c r="T129">
        <v>-0.1360978181265243</v>
      </c>
      <c r="U129">
        <v>-1.7808552995241405E-2</v>
      </c>
      <c r="V129">
        <v>1.0384510867979074E-2</v>
      </c>
      <c r="W129">
        <v>2.9103293245045458E-3</v>
      </c>
    </row>
    <row r="130" spans="18:23">
      <c r="R130">
        <v>-3.7350359636158202E-2</v>
      </c>
      <c r="S130">
        <v>4.2543679941519461E-2</v>
      </c>
      <c r="T130">
        <v>-0.1294614172529068</v>
      </c>
      <c r="U130">
        <v>-1.7383547462277466E-2</v>
      </c>
      <c r="V130">
        <v>9.1572440330350176E-3</v>
      </c>
      <c r="W130">
        <v>2.6940504064927023E-3</v>
      </c>
    </row>
    <row r="131" spans="18:23">
      <c r="R131">
        <v>-29.351869736475528</v>
      </c>
      <c r="S131">
        <v>2.4980314669340897</v>
      </c>
      <c r="T131">
        <v>-0.58130855513141511</v>
      </c>
      <c r="U131">
        <v>0.38334458236053504</v>
      </c>
      <c r="V131">
        <v>0.35145237783485661</v>
      </c>
      <c r="W131">
        <v>-1.0588197474872361</v>
      </c>
    </row>
    <row r="132" spans="18:23">
      <c r="R132">
        <v>-6.8578850489661045</v>
      </c>
      <c r="S132">
        <v>1.0312609096189629</v>
      </c>
      <c r="T132">
        <v>-0.45936059420665254</v>
      </c>
      <c r="U132">
        <v>0.11438006308246212</v>
      </c>
      <c r="V132">
        <v>0.21881558544409532</v>
      </c>
      <c r="W132">
        <v>-0.19548941394278033</v>
      </c>
    </row>
    <row r="133" spans="18:23">
      <c r="R133">
        <v>-2.7067962850924605</v>
      </c>
      <c r="S133">
        <v>0.5891455034058557</v>
      </c>
      <c r="T133">
        <v>-0.38020605994111206</v>
      </c>
      <c r="U133">
        <v>4.1787888692948742E-2</v>
      </c>
      <c r="V133">
        <v>0.13600577014319182</v>
      </c>
      <c r="W133">
        <v>-5.7897640907763052E-2</v>
      </c>
    </row>
    <row r="134" spans="18:23">
      <c r="R134">
        <v>-1.3686494289140954</v>
      </c>
      <c r="S134">
        <v>0.39104269397545577</v>
      </c>
      <c r="T134">
        <v>-0.32667489095883429</v>
      </c>
      <c r="U134">
        <v>1.2873560603324332E-2</v>
      </c>
      <c r="V134">
        <v>9.2514531735019709E-2</v>
      </c>
      <c r="W134">
        <v>-1.9819277662590722E-2</v>
      </c>
    </row>
    <row r="135" spans="18:23">
      <c r="R135">
        <v>-0.79835013927301735</v>
      </c>
      <c r="S135">
        <v>0.2829022463759806</v>
      </c>
      <c r="T135">
        <v>-0.28779549794797371</v>
      </c>
      <c r="U135">
        <v>-9.7865031439861648E-4</v>
      </c>
      <c r="V135">
        <v>6.7135004574603654E-2</v>
      </c>
      <c r="W135">
        <v>-6.1724667140072098E-3</v>
      </c>
    </row>
    <row r="136" spans="18:23">
      <c r="R136">
        <v>-0.51102477291589699</v>
      </c>
      <c r="S136">
        <v>0.21643402147026214</v>
      </c>
      <c r="T136">
        <v>-0.25803921074836417</v>
      </c>
      <c r="U136">
        <v>-8.3210378556203852E-3</v>
      </c>
      <c r="V136">
        <v>5.1001404319973041E-2</v>
      </c>
      <c r="W136">
        <v>-5.733237603028885E-4</v>
      </c>
    </row>
    <row r="137" spans="18:23">
      <c r="R137">
        <v>-0.34915203197344091</v>
      </c>
      <c r="S137">
        <v>0.1722038205002375</v>
      </c>
      <c r="T137">
        <v>-0.23437850737450949</v>
      </c>
      <c r="U137">
        <v>-1.2434937374854398E-2</v>
      </c>
      <c r="V137">
        <v>4.0071956734373533E-2</v>
      </c>
      <c r="W137">
        <v>1.8712836278050066E-3</v>
      </c>
    </row>
    <row r="138" spans="18:23">
      <c r="R138">
        <v>-0.2503591276993169</v>
      </c>
      <c r="S138">
        <v>0.14104739588693907</v>
      </c>
      <c r="T138">
        <v>-0.21501601324440206</v>
      </c>
      <c r="U138">
        <v>-1.4793723471492586E-2</v>
      </c>
      <c r="V138">
        <v>3.2303104277436247E-2</v>
      </c>
      <c r="W138">
        <v>2.934435958313776E-3</v>
      </c>
    </row>
    <row r="139" spans="18:23">
      <c r="R139">
        <v>-0.18632490302550828</v>
      </c>
      <c r="S139">
        <v>0.11813946884591912</v>
      </c>
      <c r="T139">
        <v>-0.19881329639811252</v>
      </c>
      <c r="U139">
        <v>-1.6134765510438655E-2</v>
      </c>
      <c r="V139">
        <v>2.6570446262382977E-2</v>
      </c>
      <c r="W139">
        <v>3.3480151289667333E-3</v>
      </c>
    </row>
    <row r="140" spans="18:23">
      <c r="R140">
        <v>-0.14282613852911816</v>
      </c>
      <c r="S140">
        <v>0.10072365199514675</v>
      </c>
      <c r="T140">
        <v>-0.18501128943043477</v>
      </c>
      <c r="U140">
        <v>-1.6857527487057596E-2</v>
      </c>
      <c r="V140">
        <v>2.221230210935576E-2</v>
      </c>
      <c r="W140">
        <v>3.4432817940792948E-3</v>
      </c>
    </row>
    <row r="141" spans="18:23">
      <c r="R141">
        <v>-0.1121442603405446</v>
      </c>
      <c r="S141">
        <v>8.7123309799074747E-2</v>
      </c>
      <c r="T141">
        <v>-0.17308252487316134</v>
      </c>
      <c r="U141">
        <v>-1.7191843014817302E-2</v>
      </c>
      <c r="V141">
        <v>1.881767690025473E-2</v>
      </c>
      <c r="W141">
        <v>3.3804808278765012E-3</v>
      </c>
    </row>
    <row r="142" spans="18:23">
      <c r="R142">
        <v>-8.9824796716450911E-2</v>
      </c>
      <c r="S142">
        <v>7.6266336834722448E-2</v>
      </c>
      <c r="T142">
        <v>-0.16264786688852997</v>
      </c>
      <c r="U142">
        <v>-1.7276306010761491E-2</v>
      </c>
      <c r="V142">
        <v>1.6119765252093136E-2</v>
      </c>
      <c r="W142">
        <v>3.240901125270786E-3</v>
      </c>
    </row>
    <row r="143" spans="18:23">
      <c r="R143">
        <v>-7.3164991344543157E-2</v>
      </c>
      <c r="S143">
        <v>6.7438688504105754E-2</v>
      </c>
      <c r="T143">
        <v>-0.15342702473337574</v>
      </c>
      <c r="U143">
        <v>-1.7197667245854004E-2</v>
      </c>
      <c r="V143">
        <v>1.3938897819194915E-2</v>
      </c>
      <c r="W143">
        <v>3.0671114097139793E-3</v>
      </c>
    </row>
    <row r="144" spans="18:23">
      <c r="R144">
        <v>-6.0455298228789096E-2</v>
      </c>
      <c r="S144">
        <v>6.0148418542348515E-2</v>
      </c>
      <c r="T144">
        <v>-0.14520780502115535</v>
      </c>
      <c r="U144">
        <v>-1.7011877295761355E-2</v>
      </c>
      <c r="V144">
        <v>1.2150287049654989E-2</v>
      </c>
      <c r="W144">
        <v>2.8817843083714925E-3</v>
      </c>
    </row>
    <row r="145" spans="18:23">
      <c r="R145">
        <v>-5.0575759734270975E-2</v>
      </c>
      <c r="S145">
        <v>5.4046762955169629E-2</v>
      </c>
      <c r="T145">
        <v>-0.13782627460088087</v>
      </c>
      <c r="U145">
        <v>-1.6755902329142237E-2</v>
      </c>
      <c r="V145">
        <v>1.0664946727212209E-2</v>
      </c>
      <c r="W145">
        <v>2.6969973428590576E-3</v>
      </c>
    </row>
    <row r="146" spans="18:23">
      <c r="R146">
        <v>-4.2770294653565487E-2</v>
      </c>
      <c r="S146">
        <v>4.8880336746931971E-2</v>
      </c>
      <c r="T146">
        <v>-0.13115354397110632</v>
      </c>
      <c r="U146">
        <v>-1.6454641444834862E-2</v>
      </c>
      <c r="V146">
        <v>9.4179592652353424E-3</v>
      </c>
      <c r="W146">
        <v>2.5190362307571852E-3</v>
      </c>
    </row>
    <row r="147" spans="18:23">
      <c r="R147">
        <v>-28.418741325901429</v>
      </c>
      <c r="S147">
        <v>2.6072239748533441</v>
      </c>
      <c r="T147">
        <v>-0.54139414057151758</v>
      </c>
      <c r="U147">
        <v>0.41316596685636547</v>
      </c>
      <c r="V147">
        <v>0.24486046291770319</v>
      </c>
      <c r="W147">
        <v>-1.0657610024426438</v>
      </c>
    </row>
    <row r="148" spans="18:23">
      <c r="R148">
        <v>-7.2297578215472917</v>
      </c>
      <c r="S148">
        <v>1.1230691761626856</v>
      </c>
      <c r="T148">
        <v>-0.44686217128178873</v>
      </c>
      <c r="U148">
        <v>0.13524140097617943</v>
      </c>
      <c r="V148">
        <v>0.19800436590000028</v>
      </c>
      <c r="W148">
        <v>-0.21989049924558948</v>
      </c>
    </row>
    <row r="149" spans="18:23">
      <c r="R149">
        <v>-2.9283672287966334</v>
      </c>
      <c r="S149">
        <v>0.6507482730659182</v>
      </c>
      <c r="T149">
        <v>-0.37535741424427077</v>
      </c>
      <c r="U149">
        <v>5.5078171764329505E-2</v>
      </c>
      <c r="V149">
        <v>0.12959643077821098</v>
      </c>
      <c r="W149">
        <v>-7.0102236803417761E-2</v>
      </c>
    </row>
    <row r="150" spans="18:23">
      <c r="R150">
        <v>-1.4993962482429235</v>
      </c>
      <c r="S150">
        <v>0.4350016314032053</v>
      </c>
      <c r="T150">
        <v>-0.32492854862880699</v>
      </c>
      <c r="U150">
        <v>2.2014616554879692E-2</v>
      </c>
      <c r="V150">
        <v>9.0194911726608082E-2</v>
      </c>
      <c r="W150">
        <v>-2.6518476426881703E-2</v>
      </c>
    </row>
    <row r="151" spans="18:23">
      <c r="R151">
        <v>-0.88113332426225444</v>
      </c>
      <c r="S151">
        <v>0.31604495131357757</v>
      </c>
      <c r="T151">
        <v>-0.28755888627596116</v>
      </c>
      <c r="U151">
        <v>5.6972130075232932E-3</v>
      </c>
      <c r="V151">
        <v>6.6314934783504642E-2</v>
      </c>
      <c r="W151">
        <v>-1.0211427382643554E-2</v>
      </c>
    </row>
    <row r="152" spans="18:23">
      <c r="R152">
        <v>-0.56678730021503942</v>
      </c>
      <c r="S152">
        <v>0.24247585035937502</v>
      </c>
      <c r="T152">
        <v>-0.25861651233000477</v>
      </c>
      <c r="U152">
        <v>-3.2281323941259323E-3</v>
      </c>
      <c r="V152">
        <v>5.0813137319664407E-2</v>
      </c>
      <c r="W152">
        <v>-3.1870151864082704E-3</v>
      </c>
    </row>
    <row r="153" spans="18:23">
      <c r="R153">
        <v>-0.38860181468760335</v>
      </c>
      <c r="S153">
        <v>0.19331460832175176</v>
      </c>
      <c r="T153">
        <v>-0.23542140379338408</v>
      </c>
      <c r="U153">
        <v>-8.4213590943264457E-3</v>
      </c>
      <c r="V153">
        <v>4.016987512571716E-2</v>
      </c>
      <c r="W153">
        <v>8.7473393268789869E-5</v>
      </c>
    </row>
    <row r="154" spans="18:23">
      <c r="R154">
        <v>-0.27937191019921004</v>
      </c>
      <c r="S154">
        <v>0.15857917740797731</v>
      </c>
      <c r="T154">
        <v>-0.21633343373803454</v>
      </c>
      <c r="U154">
        <v>-1.1550851266011443E-2</v>
      </c>
      <c r="V154">
        <v>3.2533199005050494E-2</v>
      </c>
      <c r="W154">
        <v>1.6661205350603507E-3</v>
      </c>
    </row>
    <row r="155" spans="18:23">
      <c r="R155">
        <v>-0.20833652420963714</v>
      </c>
      <c r="S155">
        <v>0.13298076013381091</v>
      </c>
      <c r="T155">
        <v>-0.20029340137548621</v>
      </c>
      <c r="U155">
        <v>-1.346252824833505E-2</v>
      </c>
      <c r="V155">
        <v>2.6858774380068749E-2</v>
      </c>
      <c r="W155">
        <v>2.416626873040176E-3</v>
      </c>
    </row>
    <row r="156" spans="18:23">
      <c r="R156">
        <v>-0.15995599004757838</v>
      </c>
      <c r="S156">
        <v>0.11348420719941706</v>
      </c>
      <c r="T156">
        <v>-0.18658543588343063</v>
      </c>
      <c r="U156">
        <v>-1.4620245736802715E-2</v>
      </c>
      <c r="V156">
        <v>2.252163197801986E-2</v>
      </c>
      <c r="W156">
        <v>2.7412861899792514E-3</v>
      </c>
    </row>
    <row r="157" spans="18:23">
      <c r="R157">
        <v>-0.12575925867756121</v>
      </c>
      <c r="S157">
        <v>9.8236735313007736E-2</v>
      </c>
      <c r="T157">
        <v>-0.17470707975067867</v>
      </c>
      <c r="U157">
        <v>-1.5294068887534183E-2</v>
      </c>
      <c r="V157">
        <v>1.9128796339653305E-2</v>
      </c>
      <c r="W157">
        <v>2.8399640030082112E-3</v>
      </c>
    </row>
    <row r="158" spans="18:23">
      <c r="R158">
        <v>-0.10084012870102488</v>
      </c>
      <c r="S158">
        <v>8.6050243158207848E-2</v>
      </c>
      <c r="T158">
        <v>-0.16429437603008581</v>
      </c>
      <c r="U158">
        <v>-1.5648826574375579E-2</v>
      </c>
      <c r="V158">
        <v>1.642276215829545E-2</v>
      </c>
      <c r="W158">
        <v>2.8172518056193778E-3</v>
      </c>
    </row>
    <row r="159" spans="18:23">
      <c r="R159">
        <v>-8.2213119904279972E-2</v>
      </c>
      <c r="S159">
        <v>7.6131601445607183E-2</v>
      </c>
      <c r="T159">
        <v>-0.15507659970672655</v>
      </c>
      <c r="U159">
        <v>-1.5788999652223877E-2</v>
      </c>
      <c r="V159">
        <v>1.4228835886876803E-2</v>
      </c>
      <c r="W159">
        <v>2.7300431388860495E-3</v>
      </c>
    </row>
    <row r="160" spans="18:23">
      <c r="R160">
        <v>-6.7985318039986878E-2</v>
      </c>
      <c r="S160">
        <v>6.7933328247960334E-2</v>
      </c>
      <c r="T160">
        <v>-0.14684777222802731</v>
      </c>
      <c r="U160">
        <v>-1.5782888796013389E-2</v>
      </c>
      <c r="V160">
        <v>1.2424955465924733E-2</v>
      </c>
      <c r="W160">
        <v>2.6101517036191133E-3</v>
      </c>
    </row>
    <row r="161" spans="18:23">
      <c r="R161">
        <v>-5.6914125245178145E-2</v>
      </c>
      <c r="S161">
        <v>6.1066657988388534E-2</v>
      </c>
      <c r="T161">
        <v>-0.13944809972640376</v>
      </c>
      <c r="U161">
        <v>-1.5676288347603033E-2</v>
      </c>
      <c r="V161">
        <v>1.0923644036250617E-2</v>
      </c>
      <c r="W161">
        <v>2.4756775066436909E-3</v>
      </c>
    </row>
    <row r="162" spans="18:23">
      <c r="R162">
        <v>-4.8159214292824964E-2</v>
      </c>
      <c r="S162">
        <v>5.5248751328537703E-2</v>
      </c>
      <c r="T162">
        <v>-0.13275150598044069</v>
      </c>
      <c r="U162">
        <v>-1.5500550930380597E-2</v>
      </c>
      <c r="V162">
        <v>9.6608166832791876E-3</v>
      </c>
      <c r="W162">
        <v>2.3369851334997505E-3</v>
      </c>
    </row>
    <row r="163" spans="18:23">
      <c r="R163">
        <v>-26.475482364926076</v>
      </c>
      <c r="S163">
        <v>2.6608524989875475</v>
      </c>
      <c r="T163">
        <v>-0.49902991959178233</v>
      </c>
      <c r="U163">
        <v>0.4323645158791532</v>
      </c>
      <c r="V163">
        <v>0.13968995315558147</v>
      </c>
      <c r="W163">
        <v>-1.0310813039659268</v>
      </c>
    </row>
    <row r="164" spans="18:23">
      <c r="R164">
        <v>-7.4519450660046367</v>
      </c>
      <c r="S164">
        <v>1.2019266235491344</v>
      </c>
      <c r="T164">
        <v>-0.43238552309298456</v>
      </c>
      <c r="U164">
        <v>0.15390822009123004</v>
      </c>
      <c r="V164">
        <v>0.17501283884414215</v>
      </c>
      <c r="W164">
        <v>-0.23903670240037433</v>
      </c>
    </row>
    <row r="165" spans="18:23">
      <c r="R165">
        <v>-3.1093154113678656</v>
      </c>
      <c r="S165">
        <v>0.70755597224553146</v>
      </c>
      <c r="T165">
        <v>-0.36921377284783663</v>
      </c>
      <c r="U165">
        <v>6.7668439879539008E-2</v>
      </c>
      <c r="V165">
        <v>0.12202560372022264</v>
      </c>
      <c r="W165">
        <v>-8.1099336450789192E-2</v>
      </c>
    </row>
    <row r="166" spans="18:23">
      <c r="R166">
        <v>-1.6149390310906566</v>
      </c>
      <c r="S166">
        <v>0.47673476932565506</v>
      </c>
      <c r="T166">
        <v>-0.32228080102057033</v>
      </c>
      <c r="U166">
        <v>3.0890793661016984E-2</v>
      </c>
      <c r="V166">
        <v>8.7223069517564755E-2</v>
      </c>
      <c r="W166">
        <v>-3.2850904260343643E-2</v>
      </c>
    </row>
    <row r="167" spans="18:23">
      <c r="R167">
        <v>-0.9570406641249225</v>
      </c>
      <c r="S167">
        <v>0.34801478695451715</v>
      </c>
      <c r="T167">
        <v>-0.28665945707689922</v>
      </c>
      <c r="U167">
        <v>1.2271065975523604E-2</v>
      </c>
      <c r="V167">
        <v>6.5096874846917813E-2</v>
      </c>
      <c r="W167">
        <v>-1.4125778413068779E-2</v>
      </c>
    </row>
    <row r="168" spans="18:23">
      <c r="R168">
        <v>-0.61903246014796909</v>
      </c>
      <c r="S168">
        <v>0.26785058371787113</v>
      </c>
      <c r="T168">
        <v>-0.25868589888447296</v>
      </c>
      <c r="U168">
        <v>1.8329369666796388E-3</v>
      </c>
      <c r="V168">
        <v>5.036536302067187E-2</v>
      </c>
      <c r="W168">
        <v>-5.7598730111886806E-3</v>
      </c>
    </row>
    <row r="169" spans="18:23">
      <c r="R169">
        <v>-0.42609094641397205</v>
      </c>
      <c r="S169">
        <v>0.21402825601521905</v>
      </c>
      <c r="T169">
        <v>-0.23606274988945544</v>
      </c>
      <c r="U169">
        <v>-4.4068987748472656E-3</v>
      </c>
      <c r="V169">
        <v>4.0089743539372481E-2</v>
      </c>
      <c r="W169">
        <v>-1.6875775138768694E-3</v>
      </c>
    </row>
    <row r="170" spans="18:23">
      <c r="R170">
        <v>-0.30722119825007072</v>
      </c>
      <c r="S170">
        <v>0.1758690222540655</v>
      </c>
      <c r="T170">
        <v>-0.21732562819073689</v>
      </c>
      <c r="U170">
        <v>-8.29132118733426E-3</v>
      </c>
      <c r="V170">
        <v>3.2636195102075924E-2</v>
      </c>
      <c r="W170">
        <v>3.9380686930465329E-4</v>
      </c>
    </row>
    <row r="171" spans="18:23">
      <c r="R171">
        <v>-0.22962447686949872</v>
      </c>
      <c r="S171">
        <v>0.14767433605739891</v>
      </c>
      <c r="T171">
        <v>-0.20150499665353111</v>
      </c>
      <c r="U171">
        <v>-1.0766132119226425E-2</v>
      </c>
      <c r="V171">
        <v>2.7053475596395832E-2</v>
      </c>
      <c r="W171">
        <v>1.4763591043178497E-3</v>
      </c>
    </row>
    <row r="172" spans="18:23">
      <c r="R172">
        <v>-0.17661927654141127</v>
      </c>
      <c r="S172">
        <v>0.126156626101008</v>
      </c>
      <c r="T172">
        <v>-0.18793442498879984</v>
      </c>
      <c r="U172">
        <v>-1.2355559777558357E-2</v>
      </c>
      <c r="V172">
        <v>2.2760213264689931E-2</v>
      </c>
      <c r="W172">
        <v>2.0289101309178266E-3</v>
      </c>
    </row>
    <row r="173" spans="18:23">
      <c r="R173">
        <v>-0.13906503659720154</v>
      </c>
      <c r="S173">
        <v>0.10930087319429281</v>
      </c>
      <c r="T173">
        <v>-0.17614039216950614</v>
      </c>
      <c r="U173">
        <v>-1.3367903795042657E-2</v>
      </c>
      <c r="V173">
        <v>1.9385322740203298E-2</v>
      </c>
      <c r="W173">
        <v>2.2890402912177942E-3</v>
      </c>
    </row>
    <row r="174" spans="18:23">
      <c r="R174">
        <v>-0.11164617198837049</v>
      </c>
      <c r="S174">
        <v>9.5810779298720741E-2</v>
      </c>
      <c r="T174">
        <v>-0.16577669328301656</v>
      </c>
      <c r="U174">
        <v>-1.3993182796859144E-2</v>
      </c>
      <c r="V174">
        <v>1.6682888564701393E-2</v>
      </c>
      <c r="W174">
        <v>2.3837927410252212E-3</v>
      </c>
    </row>
    <row r="175" spans="18:23">
      <c r="R175">
        <v>-9.111738743716094E-2</v>
      </c>
      <c r="S175">
        <v>8.4818719233710788E-2</v>
      </c>
      <c r="T175">
        <v>-0.15658391479916559</v>
      </c>
      <c r="U175">
        <v>-1.4353039113090953E-2</v>
      </c>
      <c r="V175">
        <v>1.4484607035971868E-2</v>
      </c>
      <c r="W175">
        <v>2.3839940044911058E-3</v>
      </c>
    </row>
    <row r="176" spans="18:23">
      <c r="R176">
        <v>-7.5415405670638272E-2</v>
      </c>
      <c r="S176">
        <v>7.5724485202075281E-2</v>
      </c>
      <c r="T176">
        <v>-0.1483635128648626</v>
      </c>
      <c r="U176">
        <v>-1.4527805532557459E-2</v>
      </c>
      <c r="V176">
        <v>1.2672047277915424E-2</v>
      </c>
      <c r="W176">
        <v>2.3304169648346376E-3</v>
      </c>
    </row>
    <row r="177" spans="18:23">
      <c r="R177">
        <v>-6.3182676989360739E-2</v>
      </c>
      <c r="S177">
        <v>6.8101088970568435E-2</v>
      </c>
      <c r="T177">
        <v>-0.14096070716553083</v>
      </c>
      <c r="U177">
        <v>-1.4571923638992469E-2</v>
      </c>
      <c r="V177">
        <v>1.1159840326118985E-2</v>
      </c>
      <c r="W177">
        <v>2.2471016405505905E-3</v>
      </c>
    </row>
    <row r="178" spans="18:23">
      <c r="R178">
        <v>-5.3499333085774495E-2</v>
      </c>
      <c r="S178">
        <v>6.1637395454357632E-2</v>
      </c>
      <c r="T178">
        <v>-0.13425287527011331</v>
      </c>
      <c r="U178">
        <v>-1.452309596315113E-2</v>
      </c>
      <c r="V178">
        <v>9.8851403641489841E-3</v>
      </c>
      <c r="W178">
        <v>2.1484570789372299E-3</v>
      </c>
    </row>
    <row r="179" spans="18:23">
      <c r="R179">
        <v>-23.688933930424103</v>
      </c>
      <c r="S179">
        <v>2.6616779697105764</v>
      </c>
      <c r="T179">
        <v>-0.45526432134635986</v>
      </c>
      <c r="U179">
        <v>0.44128272967284343</v>
      </c>
      <c r="V179">
        <v>3.9862401030739902E-2</v>
      </c>
      <c r="W179">
        <v>-0.95991041787042397</v>
      </c>
    </row>
    <row r="180" spans="18:23">
      <c r="R180">
        <v>-7.5234449499825793</v>
      </c>
      <c r="S180">
        <v>1.2671065178918024</v>
      </c>
      <c r="T180">
        <v>-0.41616011396462915</v>
      </c>
      <c r="U180">
        <v>0.17018928078543472</v>
      </c>
      <c r="V180">
        <v>0.15038127279987973</v>
      </c>
      <c r="W180">
        <v>-0.2526612861823358</v>
      </c>
    </row>
    <row r="181" spans="18:23">
      <c r="R181">
        <v>-3.2472396723882597</v>
      </c>
      <c r="S181">
        <v>0.75909498835050182</v>
      </c>
      <c r="T181">
        <v>-0.36185073666145795</v>
      </c>
      <c r="U181">
        <v>7.9448850337808782E-2</v>
      </c>
      <c r="V181">
        <v>0.11342197463138382</v>
      </c>
      <c r="W181">
        <v>-9.0735131009891209E-2</v>
      </c>
    </row>
    <row r="182" spans="18:23">
      <c r="R182">
        <v>-1.7139396001952167</v>
      </c>
      <c r="S182">
        <v>0.51595547701078959</v>
      </c>
      <c r="T182">
        <v>-0.31876133285464947</v>
      </c>
      <c r="U182">
        <v>3.9438828831228026E-2</v>
      </c>
      <c r="V182">
        <v>8.3639410800102426E-2</v>
      </c>
      <c r="W182">
        <v>-3.8743194749059955E-2</v>
      </c>
    </row>
    <row r="183" spans="18:23">
      <c r="R183">
        <v>-1.0253256054428488</v>
      </c>
      <c r="S183">
        <v>0.37862836242350384</v>
      </c>
      <c r="T183">
        <v>-0.28510937896262467</v>
      </c>
      <c r="U183">
        <v>1.8703796692175846E-2</v>
      </c>
      <c r="V183">
        <v>6.349519908090813E-2</v>
      </c>
      <c r="W183">
        <v>-1.7877609902731736E-2</v>
      </c>
    </row>
    <row r="184" spans="18:23">
      <c r="R184">
        <v>-0.66731846279018725</v>
      </c>
      <c r="S184">
        <v>0.29243414072363644</v>
      </c>
      <c r="T184">
        <v>-0.25825184385869981</v>
      </c>
      <c r="U184">
        <v>6.8364593729873255E-3</v>
      </c>
      <c r="V184">
        <v>4.9663233297137406E-2</v>
      </c>
      <c r="W184">
        <v>-8.2706401305665603E-3</v>
      </c>
    </row>
    <row r="185" spans="18:23">
      <c r="R185">
        <v>-0.46134259990110454</v>
      </c>
      <c r="S185">
        <v>0.23425686419848815</v>
      </c>
      <c r="T185">
        <v>-0.23630334571560835</v>
      </c>
      <c r="U185">
        <v>-4.0929630342402301E-4</v>
      </c>
      <c r="V185">
        <v>3.983307656118746E-2</v>
      </c>
      <c r="W185">
        <v>-3.4411289762261797E-3</v>
      </c>
    </row>
    <row r="186" spans="18:23">
      <c r="R186">
        <v>-0.3337249102546378</v>
      </c>
      <c r="S186">
        <v>0.1928523183412805</v>
      </c>
      <c r="T186">
        <v>-0.2179915666389261</v>
      </c>
      <c r="U186">
        <v>-5.0278496595291119E-3</v>
      </c>
      <c r="V186">
        <v>3.2612095560767385E-2</v>
      </c>
      <c r="W186">
        <v>-8.7445347286250834E-4</v>
      </c>
    </row>
    <row r="187" spans="18:23">
      <c r="R187">
        <v>-0.25006407694684002</v>
      </c>
      <c r="S187">
        <v>0.16217125886864719</v>
      </c>
      <c r="T187">
        <v>-0.20244613573913198</v>
      </c>
      <c r="U187">
        <v>-8.0549753740969451E-3</v>
      </c>
      <c r="V187">
        <v>2.7153927205316421E-2</v>
      </c>
      <c r="W187">
        <v>5.3252178374226032E-4</v>
      </c>
    </row>
    <row r="188" spans="18:23">
      <c r="R188">
        <v>-0.19272770721549892</v>
      </c>
      <c r="S188">
        <v>0.1387029199103986</v>
      </c>
      <c r="T188">
        <v>-0.18905587164818191</v>
      </c>
      <c r="U188">
        <v>-1.0070590347556654E-2</v>
      </c>
      <c r="V188">
        <v>2.2927188801649442E-2</v>
      </c>
      <c r="W188">
        <v>1.309779166300493E-3</v>
      </c>
    </row>
    <row r="189" spans="18:23">
      <c r="R189">
        <v>-0.15199728771648152</v>
      </c>
      <c r="S189">
        <v>0.12028562337275514</v>
      </c>
      <c r="T189">
        <v>-0.17737989762728879</v>
      </c>
      <c r="U189">
        <v>-1.1418854850906721E-2</v>
      </c>
      <c r="V189">
        <v>1.9586342370319594E-2</v>
      </c>
      <c r="W189">
        <v>1.7302571400138246E-3</v>
      </c>
    </row>
    <row r="190" spans="18:23">
      <c r="R190">
        <v>-0.12219495516382634</v>
      </c>
      <c r="S190">
        <v>0.10552367942183498</v>
      </c>
      <c r="T190">
        <v>-0.16709221812485719</v>
      </c>
      <c r="U190">
        <v>-1.2313707740604423E-2</v>
      </c>
      <c r="V190">
        <v>1.6899254782158236E-2</v>
      </c>
      <c r="W190">
        <v>1.9423572982470779E-3</v>
      </c>
    </row>
    <row r="191" spans="18:23">
      <c r="R191">
        <v>-9.9841265886754627E-2</v>
      </c>
      <c r="S191">
        <v>9.3480188004773007E-2</v>
      </c>
      <c r="T191">
        <v>-0.15794641299195283</v>
      </c>
      <c r="U191">
        <v>-1.2893244997435969E-2</v>
      </c>
      <c r="V191">
        <v>1.4705380167269438E-2</v>
      </c>
      <c r="W191">
        <v>2.0303104793159381E-3</v>
      </c>
    </row>
    <row r="192" spans="18:23">
      <c r="R192">
        <v>-8.2717247506833416E-2</v>
      </c>
      <c r="S192">
        <v>8.3505436576561148E-2</v>
      </c>
      <c r="T192">
        <v>-0.14975255664718237</v>
      </c>
      <c r="U192">
        <v>-1.3249424014124239E-2</v>
      </c>
      <c r="V192">
        <v>1.2890802289929972E-2</v>
      </c>
      <c r="W192">
        <v>2.0435862299573782E-3</v>
      </c>
    </row>
    <row r="193" spans="18:23">
      <c r="R193">
        <v>-6.935912466807323E-2</v>
      </c>
      <c r="S193">
        <v>7.5136268898971931E-2</v>
      </c>
      <c r="T193">
        <v>-0.14236173552856532</v>
      </c>
      <c r="U193">
        <v>-1.3445093325918662E-2</v>
      </c>
      <c r="V193">
        <v>1.1372847902090524E-2</v>
      </c>
      <c r="W193">
        <v>2.0120328315541419E-3</v>
      </c>
    </row>
    <row r="194" spans="18:23">
      <c r="R194">
        <v>-5.8772860665658261E-2</v>
      </c>
      <c r="S194">
        <v>6.8034602443628814E-2</v>
      </c>
      <c r="T194">
        <v>-0.13565540911891355</v>
      </c>
      <c r="U194">
        <v>-1.3524161335056937E-2</v>
      </c>
      <c r="V194">
        <v>1.0090311715284709E-2</v>
      </c>
      <c r="W194">
        <v>1.954038303115318E-3</v>
      </c>
    </row>
    <row r="195" spans="18:23">
      <c r="R195">
        <v>-20.260252464027179</v>
      </c>
      <c r="S195">
        <v>2.6142261243906058</v>
      </c>
      <c r="T195">
        <v>-0.41109284730906964</v>
      </c>
      <c r="U195">
        <v>0.44062665541630736</v>
      </c>
      <c r="V195">
        <v>-5.1300062217570788E-2</v>
      </c>
      <c r="W195">
        <v>-0.85901209416233004</v>
      </c>
    </row>
    <row r="196" spans="18:23">
      <c r="R196">
        <v>-7.4476823564778973</v>
      </c>
      <c r="S196">
        <v>1.3181738684031667</v>
      </c>
      <c r="T196">
        <v>-0.39843179361084724</v>
      </c>
      <c r="U196">
        <v>0.18394841495846398</v>
      </c>
      <c r="V196">
        <v>0.12466794088523729</v>
      </c>
      <c r="W196">
        <v>-0.26067074997697215</v>
      </c>
    </row>
    <row r="197" spans="18:23">
      <c r="R197">
        <v>-3.3406253427230812</v>
      </c>
      <c r="S197">
        <v>0.80496996210194671</v>
      </c>
      <c r="T197">
        <v>-0.35335422305223851</v>
      </c>
      <c r="U197">
        <v>9.0323147809941648E-2</v>
      </c>
      <c r="V197">
        <v>0.10392809218619597</v>
      </c>
      <c r="W197">
        <v>-9.8886582595250253E-2</v>
      </c>
    </row>
    <row r="198" spans="18:23">
      <c r="R198">
        <v>-1.7953169339787012</v>
      </c>
      <c r="S198">
        <v>0.55240521045498492</v>
      </c>
      <c r="T198">
        <v>-0.31440594121529425</v>
      </c>
      <c r="U198">
        <v>4.7599853847938134E-2</v>
      </c>
      <c r="V198">
        <v>7.949129742721904E-2</v>
      </c>
      <c r="W198">
        <v>-4.4129773383997872E-2</v>
      </c>
    </row>
    <row r="199" spans="18:23">
      <c r="R199">
        <v>-1.0853352960876297</v>
      </c>
      <c r="S199">
        <v>0.40771423594576606</v>
      </c>
      <c r="T199">
        <v>-0.2829246536382764</v>
      </c>
      <c r="U199">
        <v>2.4957916461497944E-2</v>
      </c>
      <c r="V199">
        <v>6.1527957343445815E-2</v>
      </c>
      <c r="W199">
        <v>-2.1431402508369831E-2</v>
      </c>
    </row>
    <row r="200" spans="18:23">
      <c r="R200">
        <v>-0.71124318803515596</v>
      </c>
      <c r="S200">
        <v>0.31610808357118031</v>
      </c>
      <c r="T200">
        <v>-0.25732136251308246</v>
      </c>
      <c r="U200">
        <v>1.1757344211619575E-2</v>
      </c>
      <c r="V200">
        <v>4.8713987766097026E-2</v>
      </c>
      <c r="W200">
        <v>-1.0698858517716934E-2</v>
      </c>
    </row>
    <row r="201" spans="18:23">
      <c r="R201">
        <v>-0.49409858549721375</v>
      </c>
      <c r="S201">
        <v>0.25391537167659634</v>
      </c>
      <c r="T201">
        <v>-0.23614575562643533</v>
      </c>
      <c r="U201">
        <v>3.5539232100322104E-3</v>
      </c>
      <c r="V201">
        <v>3.9402650802249695E-2</v>
      </c>
      <c r="W201">
        <v>-5.1607015140963395E-3</v>
      </c>
    </row>
    <row r="202" spans="18:23">
      <c r="R202">
        <v>-0.35871039874238525</v>
      </c>
      <c r="S202">
        <v>0.20946592627292565</v>
      </c>
      <c r="T202">
        <v>-0.21833148940631683</v>
      </c>
      <c r="U202">
        <v>-1.7731126266782313E-3</v>
      </c>
      <c r="V202">
        <v>3.2461705924089368E-2</v>
      </c>
      <c r="W202">
        <v>-2.1306727800842282E-3</v>
      </c>
    </row>
    <row r="203" spans="18:23">
      <c r="R203">
        <v>-0.26953568038562531</v>
      </c>
      <c r="S203">
        <v>0.17642335443422746</v>
      </c>
      <c r="T203">
        <v>-0.20311581419189217</v>
      </c>
      <c r="U203">
        <v>-5.3384919515329322E-3</v>
      </c>
      <c r="V203">
        <v>2.7160038319169813E-2</v>
      </c>
      <c r="W203">
        <v>-4.0956562743267919E-4</v>
      </c>
    </row>
    <row r="204" spans="18:23">
      <c r="R204">
        <v>-0.20819578867396832</v>
      </c>
      <c r="S204">
        <v>0.15108547799272012</v>
      </c>
      <c r="T204">
        <v>-0.1899481065168358</v>
      </c>
      <c r="U204">
        <v>-7.7725257048231371E-3</v>
      </c>
      <c r="V204">
        <v>2.3022065945851187E-2</v>
      </c>
      <c r="W204">
        <v>5.8755394760378428E-4</v>
      </c>
    </row>
    <row r="205" spans="18:23">
      <c r="R205">
        <v>-0.16449329759240269</v>
      </c>
      <c r="S205">
        <v>0.13116104783315138</v>
      </c>
      <c r="T205">
        <v>-0.17842358647517206</v>
      </c>
      <c r="U205">
        <v>-9.4525077284041362E-3</v>
      </c>
      <c r="V205">
        <v>1.9731198460753829E-2</v>
      </c>
      <c r="W205">
        <v>1.1662035984089851E-3</v>
      </c>
    </row>
    <row r="206" spans="18:23">
      <c r="R206">
        <v>-0.13243942396401198</v>
      </c>
      <c r="S206">
        <v>0.11516471649044516</v>
      </c>
      <c r="T206">
        <v>-0.16823878748044199</v>
      </c>
      <c r="U206">
        <v>-1.0614814197999351E-2</v>
      </c>
      <c r="V206">
        <v>1.7071156575474325E-2</v>
      </c>
      <c r="W206">
        <v>1.4948193735874456E-3</v>
      </c>
    </row>
    <row r="207" spans="18:23">
      <c r="R207">
        <v>-0.10834875453056038</v>
      </c>
      <c r="S207">
        <v>0.10209612219495233</v>
      </c>
      <c r="T207">
        <v>-0.15916188713270885</v>
      </c>
      <c r="U207">
        <v>-1.1413152987551307E-2</v>
      </c>
      <c r="V207">
        <v>1.4890460725538136E-2</v>
      </c>
      <c r="W207">
        <v>1.670375739715083E-3</v>
      </c>
    </row>
    <row r="208" spans="18:23">
      <c r="R208">
        <v>-8.9862826657824996E-2</v>
      </c>
      <c r="S208">
        <v>9.1259658160278201E-2</v>
      </c>
      <c r="T208">
        <v>-0.15101271657326581</v>
      </c>
      <c r="U208">
        <v>-1.1950611682597522E-2</v>
      </c>
      <c r="V208">
        <v>1.3080562570651469E-2</v>
      </c>
      <c r="W208">
        <v>1.7506977966103767E-3</v>
      </c>
    </row>
    <row r="209" spans="18:23">
      <c r="R209">
        <v>-7.5421335980616996E-2</v>
      </c>
      <c r="S209">
        <v>8.2158318061674257E-2</v>
      </c>
      <c r="T209">
        <v>-0.14364905524816321</v>
      </c>
      <c r="U209">
        <v>-1.229814743729778E-2</v>
      </c>
      <c r="V209">
        <v>1.1562056795066184E-2</v>
      </c>
      <c r="W209">
        <v>1.7712619040470101E-3</v>
      </c>
    </row>
    <row r="210" spans="18:23">
      <c r="R210">
        <v>-6.3962080404010691E-2</v>
      </c>
      <c r="S210">
        <v>7.4428602651939693E-2</v>
      </c>
      <c r="T210">
        <v>-0.13695705627905683</v>
      </c>
      <c r="U210">
        <v>-1.2505690725423417E-2</v>
      </c>
      <c r="V210">
        <v>1.0275771976831631E-2</v>
      </c>
      <c r="W210">
        <v>1.7543387929814048E-3</v>
      </c>
    </row>
    <row r="211" spans="18:23">
      <c r="R211">
        <v>-16.408721646081474</v>
      </c>
      <c r="S211">
        <v>2.5244187147817678</v>
      </c>
      <c r="T211">
        <v>-0.36742496175464734</v>
      </c>
      <c r="U211">
        <v>0.43139875060542421</v>
      </c>
      <c r="V211">
        <v>-0.13120863146011358</v>
      </c>
      <c r="W211">
        <v>-0.73618594331064835</v>
      </c>
    </row>
    <row r="212" spans="18:23">
      <c r="R212">
        <v>-7.2322300454920034</v>
      </c>
      <c r="S212">
        <v>1.3549845518486181</v>
      </c>
      <c r="T212">
        <v>-0.37945722873786214</v>
      </c>
      <c r="U212">
        <v>0.19510546462215128</v>
      </c>
      <c r="V212">
        <v>9.8431954043946571E-2</v>
      </c>
      <c r="W212">
        <v>-0.26314057699438187</v>
      </c>
    </row>
    <row r="213" spans="18:23">
      <c r="R213">
        <v>-3.3888614603956477</v>
      </c>
      <c r="S213">
        <v>0.84486850813187842</v>
      </c>
      <c r="T213">
        <v>-0.34381904301692684</v>
      </c>
      <c r="U213">
        <v>0.10020989302299033</v>
      </c>
      <c r="V213">
        <v>9.3697181877633581E-2</v>
      </c>
      <c r="W213">
        <v>-0.10546345541821953</v>
      </c>
    </row>
    <row r="214" spans="18:23">
      <c r="R214">
        <v>-1.858262995969314</v>
      </c>
      <c r="S214">
        <v>0.58585631400017779</v>
      </c>
      <c r="T214">
        <v>-0.30925606262510991</v>
      </c>
      <c r="U214">
        <v>5.5320050275013605E-2</v>
      </c>
      <c r="V214">
        <v>7.4832216540406685E-2</v>
      </c>
      <c r="W214">
        <v>-4.8953860489611124E-2</v>
      </c>
    </row>
    <row r="215" spans="18:23">
      <c r="R215">
        <v>-1.1365190964397114</v>
      </c>
      <c r="S215">
        <v>0.4351145085910072</v>
      </c>
      <c r="T215">
        <v>-0.28012493562288293</v>
      </c>
      <c r="U215">
        <v>3.0997914593624876E-2</v>
      </c>
      <c r="V215">
        <v>5.9216612273198473E-2</v>
      </c>
      <c r="W215">
        <v>-2.4754493566418075E-2</v>
      </c>
    </row>
    <row r="216" spans="18:23">
      <c r="R216">
        <v>-0.75044875625781182</v>
      </c>
      <c r="S216">
        <v>0.3387605670881656</v>
      </c>
      <c r="T216">
        <v>-0.25590393960170593</v>
      </c>
      <c r="U216">
        <v>1.6571325497291952E-2</v>
      </c>
      <c r="V216">
        <v>4.7526862188657433E-2</v>
      </c>
      <c r="W216">
        <v>-1.3025100663093822E-2</v>
      </c>
    </row>
    <row r="217" spans="18:23">
      <c r="R217">
        <v>-0.524121927028245</v>
      </c>
      <c r="S217">
        <v>0.2729221511624228</v>
      </c>
      <c r="T217">
        <v>-0.23559428053903347</v>
      </c>
      <c r="U217">
        <v>7.4655741246778809E-3</v>
      </c>
      <c r="V217">
        <v>3.8802472632194253E-2</v>
      </c>
      <c r="W217">
        <v>-6.8341995978888946E-3</v>
      </c>
    </row>
    <row r="218" spans="18:23">
      <c r="R218">
        <v>-0.38201597814706523</v>
      </c>
      <c r="S218">
        <v>0.22564857038682209</v>
      </c>
      <c r="T218">
        <v>-0.21834689905673674</v>
      </c>
      <c r="U218">
        <v>1.4603342660170764E-3</v>
      </c>
      <c r="V218">
        <v>3.2186624398263843E-2</v>
      </c>
      <c r="W218">
        <v>-3.3669970187650421E-3</v>
      </c>
    </row>
    <row r="219" spans="18:23">
      <c r="R219">
        <v>-0.28792563173784402</v>
      </c>
      <c r="S219">
        <v>0.19038347894502336</v>
      </c>
      <c r="T219">
        <v>-0.20351397053395359</v>
      </c>
      <c r="U219">
        <v>-2.6260983177860383E-3</v>
      </c>
      <c r="V219">
        <v>2.7072248737362411E-2</v>
      </c>
      <c r="W219">
        <v>-1.3446157576374412E-3</v>
      </c>
    </row>
    <row r="220" spans="18:23">
      <c r="R220">
        <v>-0.22294143768184388</v>
      </c>
      <c r="S220">
        <v>0.1632672557172053</v>
      </c>
      <c r="T220">
        <v>-0.19061018092821982</v>
      </c>
      <c r="U220">
        <v>-5.4685850422028963E-3</v>
      </c>
      <c r="V220">
        <v>2.3044718798364699E-2</v>
      </c>
      <c r="W220">
        <v>-1.340956091085804E-4</v>
      </c>
    </row>
    <row r="221" spans="18:23">
      <c r="R221">
        <v>-0.1764923532046829</v>
      </c>
      <c r="S221">
        <v>0.14189750656323341</v>
      </c>
      <c r="T221">
        <v>-0.17927001048271762</v>
      </c>
      <c r="U221">
        <v>-7.4745007838968444E-3</v>
      </c>
      <c r="V221">
        <v>1.9819494535376254E-2</v>
      </c>
      <c r="W221">
        <v>5.9949369106612619E-4</v>
      </c>
    </row>
    <row r="222" spans="18:23">
      <c r="R222">
        <v>-0.14233372302318284</v>
      </c>
      <c r="S222">
        <v>0.12470980295307771</v>
      </c>
      <c r="T222">
        <v>-0.16921468276133528</v>
      </c>
      <c r="U222">
        <v>-8.9009759616514982E-3</v>
      </c>
      <c r="V222">
        <v>1.7198078667323966E-2</v>
      </c>
      <c r="W222">
        <v>1.0430823726560214E-3</v>
      </c>
    </row>
    <row r="223" spans="18:23">
      <c r="R223">
        <v>-0.1166045787973326</v>
      </c>
      <c r="S223">
        <v>0.11064668061060755</v>
      </c>
      <c r="T223">
        <v>-0.16022848687821831</v>
      </c>
      <c r="U223">
        <v>-9.9163612535221532E-3</v>
      </c>
      <c r="V223">
        <v>1.5039293997081345E-2</v>
      </c>
      <c r="W223">
        <v>1.3056021746376929E-3</v>
      </c>
    </row>
    <row r="224" spans="18:23">
      <c r="R224">
        <v>-9.6824566377470639E-2</v>
      </c>
      <c r="S224">
        <v>9.8970612829122506E-2</v>
      </c>
      <c r="T224">
        <v>-0.15214209550099847</v>
      </c>
      <c r="U224">
        <v>-1.0634296534375191E-2</v>
      </c>
      <c r="V224">
        <v>1.3240775410438159E-2</v>
      </c>
      <c r="W224">
        <v>1.4528169191349561E-3</v>
      </c>
    </row>
    <row r="225" spans="18:23">
      <c r="R225">
        <v>-8.1347442103987339E-2</v>
      </c>
      <c r="S225">
        <v>8.9153309660970015E-2</v>
      </c>
      <c r="T225">
        <v>-0.14482077467686422</v>
      </c>
      <c r="U225">
        <v>-1.1133493003178827E-2</v>
      </c>
      <c r="V225">
        <v>1.1726937352455538E-2</v>
      </c>
      <c r="W225">
        <v>1.5256037383059981E-3</v>
      </c>
    </row>
    <row r="226" spans="18:23">
      <c r="R226">
        <v>-6.9049428322376705E-2</v>
      </c>
      <c r="S226">
        <v>8.0807559545272842E-2</v>
      </c>
      <c r="T226">
        <v>-0.13815596256191282</v>
      </c>
      <c r="U226">
        <v>-1.1469680603327989E-2</v>
      </c>
      <c r="V226">
        <v>1.0441024465363458E-2</v>
      </c>
      <c r="W226">
        <v>1.5499896392023444E-3</v>
      </c>
    </row>
    <row r="227" spans="18:23">
      <c r="R227">
        <v>-12.355675486646902</v>
      </c>
      <c r="S227">
        <v>2.3991602886693029</v>
      </c>
      <c r="T227">
        <v>-0.32505826416008421</v>
      </c>
      <c r="U227">
        <v>0.41482040490184385</v>
      </c>
      <c r="V227">
        <v>-0.19808040997803508</v>
      </c>
      <c r="W227">
        <v>-0.59964864080784108</v>
      </c>
    </row>
    <row r="228" spans="18:23">
      <c r="R228">
        <v>-6.8883800275000144</v>
      </c>
      <c r="S228">
        <v>1.3776760055000021</v>
      </c>
      <c r="T228">
        <v>-0.35949832564030781</v>
      </c>
      <c r="U228">
        <v>0.20363553597193892</v>
      </c>
      <c r="V228">
        <v>7.2216844462959312E-2</v>
      </c>
      <c r="W228">
        <v>-0.26030458877569446</v>
      </c>
    </row>
    <row r="229" spans="18:23">
      <c r="R229">
        <v>-3.3922339661354584</v>
      </c>
      <c r="S229">
        <v>0.87856419266817565</v>
      </c>
      <c r="T229">
        <v>-0.33334737171717965</v>
      </c>
      <c r="U229">
        <v>0.10904336419019922</v>
      </c>
      <c r="V229">
        <v>8.2889802423541589E-2</v>
      </c>
      <c r="W229">
        <v>-0.11040942901428234</v>
      </c>
    </row>
    <row r="230" spans="18:23">
      <c r="R230">
        <v>-1.9022529686733556</v>
      </c>
      <c r="S230">
        <v>0.61611432183752401</v>
      </c>
      <c r="T230">
        <v>-0.30335823894252706</v>
      </c>
      <c r="U230">
        <v>6.2551216578999452E-2</v>
      </c>
      <c r="V230">
        <v>6.972085891499856E-2</v>
      </c>
      <c r="W230">
        <v>-5.316828113144486E-2</v>
      </c>
    </row>
    <row r="231" spans="18:23">
      <c r="R231">
        <v>-1.1784354052650365</v>
      </c>
      <c r="S231">
        <v>0.46068624130767627</v>
      </c>
      <c r="T231">
        <v>-0.27673331787891642</v>
      </c>
      <c r="U231">
        <v>3.6790584685751984E-2</v>
      </c>
      <c r="V231">
        <v>5.6585732436884958E-2</v>
      </c>
      <c r="W231">
        <v>-2.7817491588508252E-2</v>
      </c>
    </row>
    <row r="232" spans="18:23">
      <c r="R232">
        <v>-0.7846254946904192</v>
      </c>
      <c r="S232">
        <v>0.36028721694968213</v>
      </c>
      <c r="T232">
        <v>-0.2540114371097828</v>
      </c>
      <c r="U232">
        <v>2.1255155967979882E-2</v>
      </c>
      <c r="V232">
        <v>4.6112974496320951E-2</v>
      </c>
      <c r="W232">
        <v>-1.5231185095606314E-2</v>
      </c>
    </row>
    <row r="233" spans="18:23">
      <c r="R233">
        <v>-0.55119919276114815</v>
      </c>
      <c r="S233">
        <v>0.29119957353419135</v>
      </c>
      <c r="T233">
        <v>-0.23465491790629012</v>
      </c>
      <c r="U233">
        <v>1.1308931125580261E-2</v>
      </c>
      <c r="V233">
        <v>3.8037733830745282E-2</v>
      </c>
      <c r="W233">
        <v>-8.4500297173077873E-3</v>
      </c>
    </row>
    <row r="234" spans="18:23">
      <c r="R234">
        <v>-0.40349234417063828</v>
      </c>
      <c r="S234">
        <v>0.2413412152048677</v>
      </c>
      <c r="T234">
        <v>-0.21804054442606585</v>
      </c>
      <c r="U234">
        <v>4.6601341557603896E-3</v>
      </c>
      <c r="V234">
        <v>3.1789225060917303E-2</v>
      </c>
      <c r="W234">
        <v>-4.5757739695084891E-3</v>
      </c>
    </row>
    <row r="235" spans="18:23">
      <c r="R235">
        <v>-0.30512716162802939</v>
      </c>
      <c r="S235">
        <v>0.20400577871952438</v>
      </c>
      <c r="T235">
        <v>-0.20364148185639908</v>
      </c>
      <c r="U235">
        <v>7.2859372625075491E-5</v>
      </c>
      <c r="V235">
        <v>2.6891523674081399E-2</v>
      </c>
      <c r="W235">
        <v>-2.2674144852717101E-3</v>
      </c>
    </row>
    <row r="236" spans="18:23">
      <c r="R236">
        <v>-0.23688656870930092</v>
      </c>
      <c r="S236">
        <v>0.17521195910451248</v>
      </c>
      <c r="T236">
        <v>-0.19104186815328769</v>
      </c>
      <c r="U236">
        <v>-3.1659818097550252E-3</v>
      </c>
      <c r="V236">
        <v>2.2995387837286111E-2</v>
      </c>
      <c r="W236">
        <v>-8.5151617748543962E-4</v>
      </c>
    </row>
    <row r="237" spans="18:23">
      <c r="R237">
        <v>-0.18793613966058678</v>
      </c>
      <c r="S237">
        <v>0.1524657921483808</v>
      </c>
      <c r="T237">
        <v>-0.17991828680128175</v>
      </c>
      <c r="U237">
        <v>-5.4904989305801814E-3</v>
      </c>
      <c r="V237">
        <v>1.9851096070116037E-2</v>
      </c>
      <c r="W237">
        <v>3.2749630252626944E-5</v>
      </c>
    </row>
    <row r="238" spans="18:23">
      <c r="R238">
        <v>-0.15183347108311171</v>
      </c>
      <c r="S238">
        <v>0.13413509101820903</v>
      </c>
      <c r="T238">
        <v>-0.17001863501661127</v>
      </c>
      <c r="U238">
        <v>-7.1767087996804299E-3</v>
      </c>
      <c r="V238">
        <v>1.7279697129747369E-2</v>
      </c>
      <c r="W238">
        <v>5.8906799648886254E-4</v>
      </c>
    </row>
    <row r="239" spans="18:23">
      <c r="R239">
        <v>-0.12457438578471877</v>
      </c>
      <c r="S239">
        <v>0.11911214256077771</v>
      </c>
      <c r="T239">
        <v>-0.16114472423945042</v>
      </c>
      <c r="U239">
        <v>-8.4065163357345367E-3</v>
      </c>
      <c r="V239">
        <v>1.5151467648584981E-2</v>
      </c>
      <c r="W239">
        <v>9.3742371123151493E-4</v>
      </c>
    </row>
    <row r="240" spans="18:23">
      <c r="R240">
        <v>-0.10357547190256268</v>
      </c>
      <c r="S240">
        <v>0.10662180931146154</v>
      </c>
      <c r="T240">
        <v>-0.15313909167294376</v>
      </c>
      <c r="U240">
        <v>-9.3034564722964379E-3</v>
      </c>
      <c r="V240">
        <v>1.3370995750035222E-2</v>
      </c>
      <c r="W240">
        <v>1.1510304455575929E-3</v>
      </c>
    </row>
    <row r="241" spans="18:23">
      <c r="R241">
        <v>-8.7115942510154684E-2</v>
      </c>
      <c r="S241">
        <v>9.6107315836159821E-2</v>
      </c>
      <c r="T241">
        <v>-0.14587524538177105</v>
      </c>
      <c r="U241">
        <v>-9.9535859091222333E-3</v>
      </c>
      <c r="V241">
        <v>1.1867042453979933E-2</v>
      </c>
      <c r="W241">
        <v>1.275893454206038E-3</v>
      </c>
    </row>
    <row r="242" spans="18:23">
      <c r="R242">
        <v>-7.4017571834644996E-2</v>
      </c>
      <c r="S242">
        <v>8.7159606208229601E-2</v>
      </c>
      <c r="T242">
        <v>-0.13925047580319491</v>
      </c>
      <c r="U242">
        <v>-1.0418173918993046E-2</v>
      </c>
      <c r="V242">
        <v>1.0585636547183339E-2</v>
      </c>
      <c r="W242">
        <v>1.34164027741434E-3</v>
      </c>
    </row>
    <row r="243" spans="18:23">
      <c r="R243">
        <v>-8.309874342783834</v>
      </c>
      <c r="S243">
        <v>2.245911984536173</v>
      </c>
      <c r="T243">
        <v>-0.28466066996157474</v>
      </c>
      <c r="U243">
        <v>0.39225026291491966</v>
      </c>
      <c r="V243">
        <v>-0.25095037181565449</v>
      </c>
      <c r="W243">
        <v>-0.45744878089235647</v>
      </c>
    </row>
    <row r="244" spans="18:23">
      <c r="R244">
        <v>-6.4305902158353572</v>
      </c>
      <c r="S244">
        <v>1.3866501813122059</v>
      </c>
      <c r="T244">
        <v>-0.33881680745366721</v>
      </c>
      <c r="U244">
        <v>0.20956667477170773</v>
      </c>
      <c r="V244">
        <v>4.6535502225382268E-2</v>
      </c>
      <c r="W244">
        <v>-0.25253867545937847</v>
      </c>
    </row>
    <row r="245" spans="18:23">
      <c r="R245">
        <v>-3.3518956603189549</v>
      </c>
      <c r="S245">
        <v>0.90591774603214925</v>
      </c>
      <c r="T245">
        <v>-0.3220471457367361</v>
      </c>
      <c r="U245">
        <v>0.11677412005908268</v>
      </c>
      <c r="V245">
        <v>7.1670437133531162E-2</v>
      </c>
      <c r="W245">
        <v>-0.11370228734583759</v>
      </c>
    </row>
    <row r="246" spans="18:23">
      <c r="R246">
        <v>-1.92704974783353</v>
      </c>
      <c r="S246">
        <v>0.64301972816134467</v>
      </c>
      <c r="T246">
        <v>-0.29676353128191646</v>
      </c>
      <c r="U246">
        <v>6.9251239375885662E-2</v>
      </c>
      <c r="V246">
        <v>6.4220126581149131E-2</v>
      </c>
      <c r="W246">
        <v>-5.6736067768562333E-2</v>
      </c>
    </row>
    <row r="247" spans="18:23">
      <c r="R247">
        <v>-1.2107566940365218</v>
      </c>
      <c r="S247">
        <v>0.48430267761460855</v>
      </c>
      <c r="T247">
        <v>-0.27277608641474538</v>
      </c>
      <c r="U247">
        <v>4.2305318239972634E-2</v>
      </c>
      <c r="V247">
        <v>5.366264689202465E-2</v>
      </c>
      <c r="W247">
        <v>-3.0594632444708336E-2</v>
      </c>
    </row>
    <row r="248" spans="18:23">
      <c r="R248">
        <v>-0.81351524367443984</v>
      </c>
      <c r="S248">
        <v>0.38059192686523485</v>
      </c>
      <c r="T248">
        <v>-0.25165798318659088</v>
      </c>
      <c r="U248">
        <v>2.5786788735728806E-2</v>
      </c>
      <c r="V248">
        <v>4.4485190189886691E-2</v>
      </c>
      <c r="W248">
        <v>-1.7300372927913001E-2</v>
      </c>
    </row>
    <row r="249" spans="18:23">
      <c r="R249">
        <v>-0.57514255227598132</v>
      </c>
      <c r="S249">
        <v>0.30867453517549914</v>
      </c>
      <c r="T249">
        <v>-0.2333353098456426</v>
      </c>
      <c r="U249">
        <v>1.5067845065971301E-2</v>
      </c>
      <c r="V249">
        <v>3.7114755756392254E-2</v>
      </c>
      <c r="W249">
        <v>-9.997211731823193E-3</v>
      </c>
    </row>
    <row r="250" spans="18:23">
      <c r="R250">
        <v>-0.42300386888072394</v>
      </c>
      <c r="S250">
        <v>0.25648742404894675</v>
      </c>
      <c r="T250">
        <v>-0.21741639690104661</v>
      </c>
      <c r="U250">
        <v>7.8142054295800342E-3</v>
      </c>
      <c r="V250">
        <v>3.1272634371585659E-2</v>
      </c>
      <c r="W250">
        <v>-5.7496189199736751E-3</v>
      </c>
    </row>
    <row r="251" spans="18:23">
      <c r="R251">
        <v>-0.32104122406626945</v>
      </c>
      <c r="S251">
        <v>0.2172459410974755</v>
      </c>
      <c r="T251">
        <v>-0.20350015417490613</v>
      </c>
      <c r="U251">
        <v>2.7491573845138842E-3</v>
      </c>
      <c r="V251">
        <v>2.6619344408599838E-2</v>
      </c>
      <c r="W251">
        <v>-3.1728612589812947E-3</v>
      </c>
    </row>
    <row r="252" spans="18:23">
      <c r="R252">
        <v>-0.24995765091589106</v>
      </c>
      <c r="S252">
        <v>0.18688422498384372</v>
      </c>
      <c r="T252">
        <v>-0.19124366099816159</v>
      </c>
      <c r="U252">
        <v>-8.7188720286356743E-4</v>
      </c>
      <c r="V252">
        <v>2.2874676974101348E-2</v>
      </c>
      <c r="W252">
        <v>-1.5610966588159333E-3</v>
      </c>
    </row>
    <row r="253" spans="18:23">
      <c r="R253">
        <v>-0.19876912083179429</v>
      </c>
      <c r="S253">
        <v>0.162837262157394</v>
      </c>
      <c r="T253">
        <v>-0.18036809930927455</v>
      </c>
      <c r="U253">
        <v>-3.5061674303760951E-3</v>
      </c>
      <c r="V253">
        <v>1.9826130470735667E-2</v>
      </c>
      <c r="W253">
        <v>-5.3141499639203389E-4</v>
      </c>
    </row>
    <row r="254" spans="18:23">
      <c r="R254">
        <v>-0.16089602757185745</v>
      </c>
      <c r="S254">
        <v>0.14341707193034642</v>
      </c>
      <c r="T254">
        <v>-0.17064982817107988</v>
      </c>
      <c r="U254">
        <v>-5.446551248146682E-3</v>
      </c>
      <c r="V254">
        <v>1.7315880648098456E-2</v>
      </c>
      <c r="W254">
        <v>1.3470491856956715E-4</v>
      </c>
    </row>
    <row r="255" spans="18:23">
      <c r="R255">
        <v>-0.13222493510411548</v>
      </c>
      <c r="S255">
        <v>0.12747298364287227</v>
      </c>
      <c r="T255">
        <v>-0.16190947770342126</v>
      </c>
      <c r="U255">
        <v>-6.8872988121098004E-3</v>
      </c>
      <c r="V255">
        <v>1.5226713491572685E-2</v>
      </c>
      <c r="W255">
        <v>5.6728801037735977E-4</v>
      </c>
    </row>
    <row r="256" spans="18:23">
      <c r="R256">
        <v>-0.11008926978451357</v>
      </c>
      <c r="S256">
        <v>0.1141968609566798</v>
      </c>
      <c r="T256">
        <v>-0.15400240316536376</v>
      </c>
      <c r="U256">
        <v>-7.9611084417367823E-3</v>
      </c>
      <c r="V256">
        <v>1.3470888066414697E-2</v>
      </c>
      <c r="W256">
        <v>8.4644132902808903E-4</v>
      </c>
    </row>
    <row r="257" spans="18:23">
      <c r="R257">
        <v>-9.2705808485565533E-2</v>
      </c>
      <c r="S257">
        <v>0.10300645387285055</v>
      </c>
      <c r="T257">
        <v>-0.14681106661422758</v>
      </c>
      <c r="U257">
        <v>-8.7609225482753964E-3</v>
      </c>
      <c r="V257">
        <v>1.1982009340058324E-2</v>
      </c>
      <c r="W257">
        <v>1.0229824830403254E-3</v>
      </c>
    </row>
    <row r="258" spans="18:23">
      <c r="R258">
        <v>-7.8849487873917531E-2</v>
      </c>
      <c r="S258">
        <v>9.347288212883946E-2</v>
      </c>
      <c r="T258">
        <v>-0.14023915018788613</v>
      </c>
      <c r="U258">
        <v>-9.3532536118093208E-3</v>
      </c>
      <c r="V258">
        <v>1.0709241330811111E-2</v>
      </c>
      <c r="W258">
        <v>1.1299556333247609E-3</v>
      </c>
    </row>
  </sheetData>
  <phoneticPr fontId="1"/>
  <hyperlinks>
    <hyperlink ref="G1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20"/>
  <sheetViews>
    <sheetView workbookViewId="0">
      <selection activeCell="Q18" sqref="Q18"/>
    </sheetView>
  </sheetViews>
  <sheetFormatPr defaultRowHeight="13.5"/>
  <cols>
    <col min="1" max="1" width="13.375" customWidth="1"/>
  </cols>
  <sheetData>
    <row r="1" spans="1:17">
      <c r="A1" t="s">
        <v>1</v>
      </c>
      <c r="B1">
        <v>1</v>
      </c>
      <c r="C1" t="s">
        <v>2</v>
      </c>
      <c r="D1">
        <v>5</v>
      </c>
    </row>
    <row r="2" spans="1:17">
      <c r="A2" t="s">
        <v>0</v>
      </c>
      <c r="B2">
        <v>0</v>
      </c>
      <c r="C2">
        <v>0.1</v>
      </c>
      <c r="D2">
        <v>0.2</v>
      </c>
      <c r="E2">
        <v>0.3</v>
      </c>
      <c r="F2">
        <v>0.4</v>
      </c>
      <c r="G2">
        <v>0.5</v>
      </c>
      <c r="H2">
        <v>0.6</v>
      </c>
      <c r="I2">
        <v>0.7</v>
      </c>
      <c r="J2">
        <v>0.8</v>
      </c>
      <c r="K2">
        <v>0.9</v>
      </c>
      <c r="L2">
        <v>1</v>
      </c>
      <c r="M2">
        <v>1.1000000000000001</v>
      </c>
      <c r="N2">
        <v>1.2</v>
      </c>
      <c r="O2">
        <v>1.3</v>
      </c>
      <c r="P2">
        <v>1.4</v>
      </c>
      <c r="Q2">
        <v>1.5</v>
      </c>
    </row>
    <row r="3" spans="1:17">
      <c r="A3">
        <v>0.1</v>
      </c>
      <c r="B3">
        <f>-(EXP(-((B$2^2+$B$1^2*$A3^2)/(4*$D$1*$A3)))*(SQRT(PI())*SQRT($A3)*($B$1*EXP((B$2^2+4*$B$1*$A3*B$2+$B$1^2*$A3^2)/(4*$D$1*$A3))*ERF((B$2+$B$1*$A3)/(2*SQRT($D$1)*SQRT($A3)))-$B$1*EXP((B$2^2+4*$B$1*$A3*B$2+$B$1^2*$A3^2)/(4*$D$1*$A3)))+2*SQRT($D$1)*EXP(($B$1*B$2)/(2*$D$1))))/(2*SQRT(PI())*$D$1*SQRT($A3))</f>
        <v>-0.70187066240942941</v>
      </c>
      <c r="C3">
        <f>-(EXP(-((C$2^2+$B$1^2*$A3^2)/(4*$D$1*$A3)))*(SQRT(PI())*SQRT($A3)*($B$1*EXP((C$2^2+4*$B$1*$A3*C$2+$B$1^2*$A3^2)/(4*$D$1*$A3))*ERF((C$2+$B$1*$A3)/(2*SQRT($D$1)*SQRT($A3)))-$B$1*EXP((C$2^2+4*$B$1*$A3*C$2+$B$1^2*$A3^2)/(4*$D$1*$A3)))+2*SQRT($D$1)*EXP(($B$1*C$2)/(2*$D$1))))/(2*SQRT(PI())*$D$1*SQRT($A3))</f>
        <v>-0.71203659915617068</v>
      </c>
      <c r="D3">
        <f>-(EXP(-((D$2^2+$B$1^2*$A3^2)/(4*$D$1*$A3)))*(SQRT(PI())*SQRT($A3)*($B$1*EXP((D$2^2+4*$B$1*$A3*D$2+$B$1^2*$A3^2)/(4*$D$1*$A3))*ERF((D$2+$B$1*$A3)/(2*SQRT($D$1)*SQRT($A3)))-$B$1*EXP((D$2^2+4*$B$1*$A3*D$2+$B$1^2*$A3^2)/(4*$D$1*$A3)))+2*SQRT($D$1)*EXP(($B$1*D$2)/(2*$D$1))))/(2*SQRT(PI())*$D$1*SQRT($A3))</f>
        <v>-0.71436871325770668</v>
      </c>
      <c r="E3">
        <f t="shared" ref="E3:Q18" si="0">-(EXP(-((E$2^2+$B$1^2*$A3^2)/(4*$D$1*$A3)))*(SQRT(PI())*SQRT($A3)*($B$1*EXP((E$2^2+4*$B$1*$A3*E$2+$B$1^2*$A3^2)/(4*$D$1*$A3))*ERF((E$2+$B$1*$A3)/(2*SQRT($D$1)*SQRT($A3)))-$B$1*EXP((E$2^2+4*$B$1*$A3*E$2+$B$1^2*$A3^2)/(4*$D$1*$A3)))+2*SQRT($D$1)*EXP(($B$1*E$2)/(2*$D$1))))/(2*SQRT(PI())*$D$1*SQRT($A3))</f>
        <v>-0.70890823037029038</v>
      </c>
      <c r="F3">
        <f t="shared" si="0"/>
        <v>-0.69592868580222367</v>
      </c>
      <c r="G3">
        <f t="shared" si="0"/>
        <v>-0.67592096662085532</v>
      </c>
      <c r="H3">
        <f t="shared" si="0"/>
        <v>-0.64956800231296663</v>
      </c>
      <c r="I3">
        <f t="shared" si="0"/>
        <v>-0.61771086295621225</v>
      </c>
      <c r="J3">
        <f t="shared" si="0"/>
        <v>-0.58130855513141511</v>
      </c>
      <c r="K3">
        <f t="shared" si="0"/>
        <v>-0.54139414057151758</v>
      </c>
      <c r="L3">
        <f t="shared" si="0"/>
        <v>-0.49902991959178233</v>
      </c>
      <c r="M3">
        <f t="shared" si="0"/>
        <v>-0.45526432134635986</v>
      </c>
      <c r="N3">
        <f t="shared" si="0"/>
        <v>-0.41109284730906964</v>
      </c>
      <c r="O3">
        <f t="shared" si="0"/>
        <v>-0.36742496175464734</v>
      </c>
      <c r="P3">
        <f t="shared" si="0"/>
        <v>-0.32505826416008421</v>
      </c>
      <c r="Q3">
        <f t="shared" si="0"/>
        <v>-0.28466066996157474</v>
      </c>
    </row>
    <row r="4" spans="1:17">
      <c r="A4">
        <v>0.2</v>
      </c>
      <c r="B4">
        <f t="shared" ref="B4:D18" si="1">-(EXP(-((B$2^2+$B$1^2*$A4^2)/(4*$D$1*$A4)))*(SQRT(PI())*SQRT($A4)*($B$1*EXP((B$2^2+4*$B$1*$A4*B$2+$B$1^2*$A4^2)/(4*$D$1*$A4))*ERF((B$2+$B$1*$A4)/(2*SQRT($D$1)*SQRT($A4)))-$B$1*EXP((B$2^2+4*$B$1*$A4*B$2+$B$1^2*$A4^2)/(4*$D$1*$A4)))+2*SQRT($D$1)*EXP(($B$1*B$2)/(2*$D$1))))/(2*SQRT(PI())*$D$1*SQRT($A4))</f>
        <v>-0.46982209499629707</v>
      </c>
      <c r="C4">
        <f t="shared" si="1"/>
        <v>-0.47789970872726328</v>
      </c>
      <c r="D4">
        <f t="shared" si="1"/>
        <v>-0.4832876315575983</v>
      </c>
      <c r="E4">
        <f t="shared" si="0"/>
        <v>-0.48593856254403239</v>
      </c>
      <c r="F4">
        <f t="shared" si="0"/>
        <v>-0.48584680848837297</v>
      </c>
      <c r="G4">
        <f t="shared" si="0"/>
        <v>-0.48304817276153561</v>
      </c>
      <c r="H4">
        <f t="shared" si="0"/>
        <v>-0.4776188115500733</v>
      </c>
      <c r="I4">
        <f t="shared" si="0"/>
        <v>-0.46967310121298173</v>
      </c>
      <c r="J4">
        <f t="shared" si="0"/>
        <v>-0.45936059420665254</v>
      </c>
      <c r="K4">
        <f t="shared" si="0"/>
        <v>-0.44686217128178873</v>
      </c>
      <c r="L4">
        <f t="shared" si="0"/>
        <v>-0.43238552309298456</v>
      </c>
      <c r="M4">
        <f t="shared" si="0"/>
        <v>-0.41616011396462915</v>
      </c>
      <c r="N4">
        <f t="shared" si="0"/>
        <v>-0.39843179361084724</v>
      </c>
      <c r="O4">
        <f t="shared" si="0"/>
        <v>-0.37945722873786214</v>
      </c>
      <c r="P4">
        <f t="shared" si="0"/>
        <v>-0.35949832564030781</v>
      </c>
      <c r="Q4">
        <f t="shared" si="0"/>
        <v>-0.33881680745366721</v>
      </c>
    </row>
    <row r="5" spans="1:17">
      <c r="A5">
        <v>0.3</v>
      </c>
      <c r="B5">
        <f t="shared" si="1"/>
        <v>-0.36755152592936496</v>
      </c>
      <c r="C5">
        <f t="shared" si="1"/>
        <v>-0.37421070845181359</v>
      </c>
      <c r="D5">
        <f t="shared" si="1"/>
        <v>-0.37945476233336001</v>
      </c>
      <c r="E5">
        <f t="shared" si="0"/>
        <v>-0.38324731949334651</v>
      </c>
      <c r="F5">
        <f t="shared" si="0"/>
        <v>-0.38556676960705605</v>
      </c>
      <c r="G5">
        <f t="shared" si="0"/>
        <v>-0.38640653291957522</v>
      </c>
      <c r="H5">
        <f t="shared" si="0"/>
        <v>-0.38577508157126872</v>
      </c>
      <c r="I5">
        <f t="shared" si="0"/>
        <v>-0.38369570989039409</v>
      </c>
      <c r="J5">
        <f t="shared" si="0"/>
        <v>-0.38020605994111206</v>
      </c>
      <c r="K5">
        <f t="shared" si="0"/>
        <v>-0.37535741424427077</v>
      </c>
      <c r="L5">
        <f t="shared" si="0"/>
        <v>-0.36921377284783663</v>
      </c>
      <c r="M5">
        <f t="shared" si="0"/>
        <v>-0.36185073666145795</v>
      </c>
      <c r="N5">
        <f t="shared" si="0"/>
        <v>-0.35335422305223851</v>
      </c>
      <c r="O5">
        <f t="shared" si="0"/>
        <v>-0.34381904301692684</v>
      </c>
      <c r="P5">
        <f t="shared" si="0"/>
        <v>-0.33334737171717965</v>
      </c>
      <c r="Q5">
        <f t="shared" si="0"/>
        <v>-0.3220471457367361</v>
      </c>
    </row>
    <row r="6" spans="1:17">
      <c r="A6">
        <v>0.4</v>
      </c>
      <c r="B6">
        <f t="shared" si="1"/>
        <v>-0.30689463586327653</v>
      </c>
      <c r="C6">
        <f t="shared" si="1"/>
        <v>-0.31259926205138056</v>
      </c>
      <c r="D6">
        <f t="shared" si="1"/>
        <v>-0.31741616578069487</v>
      </c>
      <c r="E6">
        <f t="shared" si="0"/>
        <v>-0.32131861666140255</v>
      </c>
      <c r="F6">
        <f t="shared" si="0"/>
        <v>-0.32428684617833348</v>
      </c>
      <c r="G6">
        <f t="shared" si="0"/>
        <v>-0.32630825440988792</v>
      </c>
      <c r="H6">
        <f t="shared" si="0"/>
        <v>-0.32737752677549181</v>
      </c>
      <c r="I6">
        <f t="shared" si="0"/>
        <v>-0.32749665910866671</v>
      </c>
      <c r="J6">
        <f t="shared" si="0"/>
        <v>-0.32667489095883429</v>
      </c>
      <c r="K6">
        <f t="shared" si="0"/>
        <v>-0.32492854862880699</v>
      </c>
      <c r="L6">
        <f t="shared" si="0"/>
        <v>-0.32228080102057033</v>
      </c>
      <c r="M6">
        <f t="shared" si="0"/>
        <v>-0.31876133285464947</v>
      </c>
      <c r="N6">
        <f t="shared" si="0"/>
        <v>-0.31440594121529425</v>
      </c>
      <c r="O6">
        <f t="shared" si="0"/>
        <v>-0.30925606262510991</v>
      </c>
      <c r="P6">
        <f t="shared" si="0"/>
        <v>-0.30335823894252706</v>
      </c>
      <c r="Q6">
        <f t="shared" si="0"/>
        <v>-0.29676353128191646</v>
      </c>
    </row>
    <row r="7" spans="1:17">
      <c r="A7">
        <v>0.5</v>
      </c>
      <c r="B7">
        <f t="shared" si="1"/>
        <v>-0.26570845957870504</v>
      </c>
      <c r="C7">
        <f t="shared" si="1"/>
        <v>-0.27072361553145291</v>
      </c>
      <c r="D7">
        <f t="shared" si="1"/>
        <v>-0.27512537948195193</v>
      </c>
      <c r="E7">
        <f t="shared" si="0"/>
        <v>-0.27889348140312692</v>
      </c>
      <c r="F7">
        <f t="shared" si="0"/>
        <v>-0.28201149490599464</v>
      </c>
      <c r="G7">
        <f t="shared" si="0"/>
        <v>-0.2844669793827927</v>
      </c>
      <c r="H7">
        <f t="shared" si="0"/>
        <v>-0.28625158226828684</v>
      </c>
      <c r="I7">
        <f t="shared" si="0"/>
        <v>-0.28736110013915678</v>
      </c>
      <c r="J7">
        <f t="shared" si="0"/>
        <v>-0.28779549794797371</v>
      </c>
      <c r="K7">
        <f t="shared" si="0"/>
        <v>-0.28755888627596116</v>
      </c>
      <c r="L7">
        <f t="shared" si="0"/>
        <v>-0.28665945707689922</v>
      </c>
      <c r="M7">
        <f t="shared" si="0"/>
        <v>-0.28510937896262467</v>
      </c>
      <c r="N7">
        <f t="shared" si="0"/>
        <v>-0.2829246536382764</v>
      </c>
      <c r="O7">
        <f t="shared" si="0"/>
        <v>-0.28012493562288293</v>
      </c>
      <c r="P7">
        <f t="shared" si="0"/>
        <v>-0.27673331787891642</v>
      </c>
      <c r="Q7">
        <f t="shared" si="0"/>
        <v>-0.27277608641474538</v>
      </c>
    </row>
    <row r="8" spans="1:17">
      <c r="A8">
        <v>0.6</v>
      </c>
      <c r="B8">
        <f t="shared" si="1"/>
        <v>-0.23545848952044629</v>
      </c>
      <c r="C8">
        <f t="shared" si="1"/>
        <v>-0.23994821760682372</v>
      </c>
      <c r="D8">
        <f t="shared" si="1"/>
        <v>-0.24398734745420989</v>
      </c>
      <c r="E8">
        <f t="shared" si="0"/>
        <v>-0.24755999593340555</v>
      </c>
      <c r="F8">
        <f t="shared" si="0"/>
        <v>-0.25065262442251296</v>
      </c>
      <c r="G8">
        <f t="shared" si="0"/>
        <v>-0.25325413810809483</v>
      </c>
      <c r="H8">
        <f t="shared" si="0"/>
        <v>-0.25535596502170832</v>
      </c>
      <c r="I8">
        <f t="shared" si="0"/>
        <v>-0.25695211396828466</v>
      </c>
      <c r="J8">
        <f t="shared" si="0"/>
        <v>-0.25803921074836417</v>
      </c>
      <c r="K8">
        <f t="shared" si="0"/>
        <v>-0.25861651233000477</v>
      </c>
      <c r="L8">
        <f t="shared" si="0"/>
        <v>-0.25868589888447296</v>
      </c>
      <c r="M8">
        <f t="shared" si="0"/>
        <v>-0.25825184385869981</v>
      </c>
      <c r="N8">
        <f t="shared" si="0"/>
        <v>-0.25732136251308246</v>
      </c>
      <c r="O8">
        <f t="shared" si="0"/>
        <v>-0.25590393960170593</v>
      </c>
      <c r="P8">
        <f t="shared" si="0"/>
        <v>-0.2540114371097828</v>
      </c>
      <c r="Q8">
        <f t="shared" si="0"/>
        <v>-0.25165798318659088</v>
      </c>
    </row>
    <row r="9" spans="1:17">
      <c r="A9">
        <v>0.7</v>
      </c>
      <c r="B9">
        <f t="shared" si="1"/>
        <v>-0.21206589552412536</v>
      </c>
      <c r="C9">
        <f t="shared" si="1"/>
        <v>-0.21613919377054691</v>
      </c>
      <c r="D9">
        <f t="shared" si="1"/>
        <v>-0.21986719180248354</v>
      </c>
      <c r="E9">
        <f t="shared" si="0"/>
        <v>-0.22323709890211574</v>
      </c>
      <c r="F9">
        <f t="shared" si="0"/>
        <v>-0.226237656201207</v>
      </c>
      <c r="G9">
        <f t="shared" si="0"/>
        <v>-0.22885920817746261</v>
      </c>
      <c r="H9">
        <f t="shared" si="0"/>
        <v>-0.23109376283479455</v>
      </c>
      <c r="I9">
        <f t="shared" si="0"/>
        <v>-0.23293504001105317</v>
      </c>
      <c r="J9">
        <f t="shared" si="0"/>
        <v>-0.23437850737450949</v>
      </c>
      <c r="K9">
        <f t="shared" si="0"/>
        <v>-0.23542140379338408</v>
      </c>
      <c r="L9">
        <f t="shared" si="0"/>
        <v>-0.23606274988945544</v>
      </c>
      <c r="M9">
        <f t="shared" si="0"/>
        <v>-0.23630334571560835</v>
      </c>
      <c r="N9">
        <f t="shared" si="0"/>
        <v>-0.23614575562643533</v>
      </c>
      <c r="O9">
        <f t="shared" si="0"/>
        <v>-0.23559428053903347</v>
      </c>
      <c r="P9">
        <f t="shared" si="0"/>
        <v>-0.23465491790629012</v>
      </c>
      <c r="Q9">
        <f t="shared" si="0"/>
        <v>-0.2333353098456426</v>
      </c>
    </row>
    <row r="10" spans="1:17">
      <c r="A10">
        <v>0.8</v>
      </c>
      <c r="B10">
        <f t="shared" si="1"/>
        <v>-0.19330395569726366</v>
      </c>
      <c r="C10">
        <f t="shared" si="1"/>
        <v>-0.19703733792279876</v>
      </c>
      <c r="D10">
        <f t="shared" si="1"/>
        <v>-0.20049780265154626</v>
      </c>
      <c r="E10">
        <f t="shared" si="0"/>
        <v>-0.20367481858157394</v>
      </c>
      <c r="F10">
        <f t="shared" si="0"/>
        <v>-0.2065589067911387</v>
      </c>
      <c r="G10">
        <f t="shared" si="0"/>
        <v>-0.20914169374697461</v>
      </c>
      <c r="H10">
        <f t="shared" si="0"/>
        <v>-0.21141595754228959</v>
      </c>
      <c r="I10">
        <f t="shared" si="0"/>
        <v>-0.21337566698826266</v>
      </c>
      <c r="J10">
        <f t="shared" si="0"/>
        <v>-0.21501601324440206</v>
      </c>
      <c r="K10">
        <f t="shared" si="0"/>
        <v>-0.21633343373803454</v>
      </c>
      <c r="L10">
        <f t="shared" si="0"/>
        <v>-0.21732562819073689</v>
      </c>
      <c r="M10">
        <f t="shared" si="0"/>
        <v>-0.2179915666389261</v>
      </c>
      <c r="N10">
        <f t="shared" si="0"/>
        <v>-0.21833148940631683</v>
      </c>
      <c r="O10">
        <f t="shared" si="0"/>
        <v>-0.21834689905673674</v>
      </c>
      <c r="P10">
        <f t="shared" si="0"/>
        <v>-0.21804054442606585</v>
      </c>
      <c r="Q10">
        <f t="shared" si="0"/>
        <v>-0.21741639690104661</v>
      </c>
    </row>
    <row r="11" spans="1:17">
      <c r="A11">
        <v>0.9</v>
      </c>
      <c r="B11">
        <f t="shared" si="1"/>
        <v>-0.17784082807813995</v>
      </c>
      <c r="C11">
        <f t="shared" si="1"/>
        <v>-0.18129033966773281</v>
      </c>
      <c r="D11">
        <f t="shared" si="1"/>
        <v>-0.18451899722565485</v>
      </c>
      <c r="E11">
        <f t="shared" si="0"/>
        <v>-0.18751797173634907</v>
      </c>
      <c r="F11">
        <f t="shared" si="0"/>
        <v>-0.19027918527983143</v>
      </c>
      <c r="G11">
        <f t="shared" si="0"/>
        <v>-0.19279535135757664</v>
      </c>
      <c r="H11">
        <f t="shared" si="0"/>
        <v>-0.19506001094982126</v>
      </c>
      <c r="I11">
        <f t="shared" si="0"/>
        <v>-0.19706756404271028</v>
      </c>
      <c r="J11">
        <f t="shared" si="0"/>
        <v>-0.19881329639811252</v>
      </c>
      <c r="K11">
        <f t="shared" si="0"/>
        <v>-0.20029340137548621</v>
      </c>
      <c r="L11">
        <f t="shared" si="0"/>
        <v>-0.20150499665353111</v>
      </c>
      <c r="M11">
        <f t="shared" si="0"/>
        <v>-0.20244613573913198</v>
      </c>
      <c r="N11">
        <f t="shared" si="0"/>
        <v>-0.20311581419189217</v>
      </c>
      <c r="O11">
        <f t="shared" si="0"/>
        <v>-0.20351397053395359</v>
      </c>
      <c r="P11">
        <f t="shared" si="0"/>
        <v>-0.20364148185639908</v>
      </c>
      <c r="Q11">
        <f t="shared" si="0"/>
        <v>-0.20350015417490613</v>
      </c>
    </row>
    <row r="12" spans="1:17">
      <c r="A12">
        <v>1</v>
      </c>
      <c r="B12">
        <f t="shared" si="1"/>
        <v>-0.16482482628144229</v>
      </c>
      <c r="C12">
        <f t="shared" si="1"/>
        <v>-0.16803292400081873</v>
      </c>
      <c r="D12">
        <f t="shared" si="1"/>
        <v>-0.17105895272198057</v>
      </c>
      <c r="E12">
        <f t="shared" si="0"/>
        <v>-0.17389539948049118</v>
      </c>
      <c r="F12">
        <f t="shared" si="0"/>
        <v>-0.17653530364081271</v>
      </c>
      <c r="G12">
        <f t="shared" si="0"/>
        <v>-0.17897228825906356</v>
      </c>
      <c r="H12">
        <f t="shared" si="0"/>
        <v>-0.18120058864180413</v>
      </c>
      <c r="I12">
        <f t="shared" si="0"/>
        <v>-0.18321507791411004</v>
      </c>
      <c r="J12">
        <f t="shared" si="0"/>
        <v>-0.18501128943043477</v>
      </c>
      <c r="K12">
        <f t="shared" si="0"/>
        <v>-0.18658543588343063</v>
      </c>
      <c r="L12">
        <f t="shared" si="0"/>
        <v>-0.18793442498879984</v>
      </c>
      <c r="M12">
        <f t="shared" si="0"/>
        <v>-0.18905587164818191</v>
      </c>
      <c r="N12">
        <f t="shared" si="0"/>
        <v>-0.1899481065168358</v>
      </c>
      <c r="O12">
        <f t="shared" si="0"/>
        <v>-0.19061018092821982</v>
      </c>
      <c r="P12">
        <f t="shared" si="0"/>
        <v>-0.19104186815328769</v>
      </c>
      <c r="Q12">
        <f t="shared" si="0"/>
        <v>-0.19124366099816159</v>
      </c>
    </row>
    <row r="13" spans="1:17">
      <c r="A13">
        <v>1.1000000000000001</v>
      </c>
      <c r="B13">
        <f t="shared" si="1"/>
        <v>-0.15368269848882093</v>
      </c>
      <c r="C13">
        <f t="shared" si="1"/>
        <v>-0.15668243053785361</v>
      </c>
      <c r="D13">
        <f t="shared" si="1"/>
        <v>-0.15952980581065435</v>
      </c>
      <c r="E13">
        <f t="shared" si="0"/>
        <v>-0.16221835111268651</v>
      </c>
      <c r="F13">
        <f t="shared" si="0"/>
        <v>-0.16474200926364765</v>
      </c>
      <c r="G13">
        <f t="shared" si="0"/>
        <v>-0.16709516395455265</v>
      </c>
      <c r="H13">
        <f t="shared" si="0"/>
        <v>-0.16927266270150559</v>
      </c>
      <c r="I13">
        <f t="shared" si="0"/>
        <v>-0.17126983775964444</v>
      </c>
      <c r="J13">
        <f t="shared" si="0"/>
        <v>-0.17308252487316134</v>
      </c>
      <c r="K13">
        <f t="shared" si="0"/>
        <v>-0.17470707975067867</v>
      </c>
      <c r="L13">
        <f t="shared" si="0"/>
        <v>-0.17614039216950614</v>
      </c>
      <c r="M13">
        <f t="shared" si="0"/>
        <v>-0.17737989762728879</v>
      </c>
      <c r="N13">
        <f t="shared" si="0"/>
        <v>-0.17842358647517206</v>
      </c>
      <c r="O13">
        <f t="shared" si="0"/>
        <v>-0.17927001048271762</v>
      </c>
      <c r="P13">
        <f t="shared" si="0"/>
        <v>-0.17991828680128175</v>
      </c>
      <c r="Q13">
        <f t="shared" si="0"/>
        <v>-0.18036809930927455</v>
      </c>
    </row>
    <row r="14" spans="1:17">
      <c r="A14">
        <v>1.2</v>
      </c>
      <c r="B14">
        <f t="shared" si="1"/>
        <v>-0.14401264206809231</v>
      </c>
      <c r="C14">
        <f t="shared" si="1"/>
        <v>-0.14683031435459334</v>
      </c>
      <c r="D14">
        <f t="shared" si="1"/>
        <v>-0.14951891654934049</v>
      </c>
      <c r="E14">
        <f t="shared" si="0"/>
        <v>-0.15207281219714144</v>
      </c>
      <c r="F14">
        <f t="shared" si="0"/>
        <v>-0.15448668437474744</v>
      </c>
      <c r="G14">
        <f t="shared" si="0"/>
        <v>-0.15675555571427957</v>
      </c>
      <c r="H14">
        <f t="shared" si="0"/>
        <v>-0.15887480709979013</v>
      </c>
      <c r="I14">
        <f t="shared" si="0"/>
        <v>-0.16084019493505008</v>
      </c>
      <c r="J14">
        <f t="shared" si="0"/>
        <v>-0.16264786688852997</v>
      </c>
      <c r="K14">
        <f t="shared" si="0"/>
        <v>-0.16429437603008581</v>
      </c>
      <c r="L14">
        <f t="shared" si="0"/>
        <v>-0.16577669328301656</v>
      </c>
      <c r="M14">
        <f t="shared" si="0"/>
        <v>-0.16709221812485719</v>
      </c>
      <c r="N14">
        <f t="shared" si="0"/>
        <v>-0.16823878748044199</v>
      </c>
      <c r="O14">
        <f t="shared" si="0"/>
        <v>-0.16921468276133528</v>
      </c>
      <c r="P14">
        <f t="shared" si="0"/>
        <v>-0.17001863501661127</v>
      </c>
      <c r="Q14">
        <f t="shared" si="0"/>
        <v>-0.17064982817107988</v>
      </c>
    </row>
    <row r="15" spans="1:17">
      <c r="A15">
        <v>1.3</v>
      </c>
      <c r="B15">
        <f t="shared" si="1"/>
        <v>-0.13552360477078959</v>
      </c>
      <c r="C15">
        <f t="shared" si="1"/>
        <v>-0.13818055148329308</v>
      </c>
      <c r="D15">
        <f t="shared" si="1"/>
        <v>-0.14072702793495445</v>
      </c>
      <c r="E15">
        <f t="shared" si="0"/>
        <v>-0.1431580817043544</v>
      </c>
      <c r="F15">
        <f t="shared" si="0"/>
        <v>-0.14546900980163574</v>
      </c>
      <c r="G15">
        <f t="shared" si="0"/>
        <v>-0.14765537502645834</v>
      </c>
      <c r="H15">
        <f t="shared" si="0"/>
        <v>-0.14971302138043868</v>
      </c>
      <c r="I15">
        <f t="shared" si="0"/>
        <v>-0.15163808845658544</v>
      </c>
      <c r="J15">
        <f t="shared" si="0"/>
        <v>-0.15342702473337574</v>
      </c>
      <c r="K15">
        <f t="shared" si="0"/>
        <v>-0.15507659970672655</v>
      </c>
      <c r="L15">
        <f t="shared" si="0"/>
        <v>-0.15658391479916559</v>
      </c>
      <c r="M15">
        <f t="shared" si="0"/>
        <v>-0.15794641299195283</v>
      </c>
      <c r="N15">
        <f t="shared" si="0"/>
        <v>-0.15916188713270885</v>
      </c>
      <c r="O15">
        <f t="shared" si="0"/>
        <v>-0.16022848687821831</v>
      </c>
      <c r="P15">
        <f t="shared" si="0"/>
        <v>-0.16114472423945042</v>
      </c>
      <c r="Q15">
        <f t="shared" si="0"/>
        <v>-0.16190947770342126</v>
      </c>
    </row>
    <row r="16" spans="1:17">
      <c r="A16">
        <v>1.4</v>
      </c>
      <c r="B16">
        <f t="shared" si="1"/>
        <v>-0.12799893090933423</v>
      </c>
      <c r="C16">
        <f t="shared" si="1"/>
        <v>-0.13051273067773261</v>
      </c>
      <c r="D16">
        <f t="shared" si="1"/>
        <v>-0.13293115597083344</v>
      </c>
      <c r="E16">
        <f t="shared" si="0"/>
        <v>-0.13524982121512494</v>
      </c>
      <c r="F16">
        <f t="shared" si="0"/>
        <v>-0.13746453820137139</v>
      </c>
      <c r="G16">
        <f t="shared" si="0"/>
        <v>-0.13957132961278282</v>
      </c>
      <c r="H16">
        <f t="shared" si="0"/>
        <v>-0.14156644186705852</v>
      </c>
      <c r="I16">
        <f t="shared" si="0"/>
        <v>-0.14344635721241775</v>
      </c>
      <c r="J16">
        <f t="shared" si="0"/>
        <v>-0.14520780502115535</v>
      </c>
      <c r="K16">
        <f t="shared" si="0"/>
        <v>-0.14684777222802731</v>
      </c>
      <c r="L16">
        <f t="shared" si="0"/>
        <v>-0.1483635128648626</v>
      </c>
      <c r="M16">
        <f t="shared" si="0"/>
        <v>-0.14975255664718237</v>
      </c>
      <c r="N16">
        <f t="shared" si="0"/>
        <v>-0.15101271657326581</v>
      </c>
      <c r="O16">
        <f t="shared" si="0"/>
        <v>-0.15214209550099847</v>
      </c>
      <c r="P16">
        <f t="shared" si="0"/>
        <v>-0.15313909167294376</v>
      </c>
      <c r="Q16">
        <f t="shared" si="0"/>
        <v>-0.15400240316536376</v>
      </c>
    </row>
    <row r="17" spans="1:17">
      <c r="A17">
        <v>1.5</v>
      </c>
      <c r="B17">
        <f t="shared" si="1"/>
        <v>-0.12127359743034546</v>
      </c>
      <c r="C17">
        <f t="shared" si="1"/>
        <v>-0.12365893298743454</v>
      </c>
      <c r="D17">
        <f t="shared" si="1"/>
        <v>-0.12596131463281754</v>
      </c>
      <c r="E17">
        <f t="shared" si="0"/>
        <v>-0.1281768321244518</v>
      </c>
      <c r="F17">
        <f t="shared" si="0"/>
        <v>-0.13030173317779895</v>
      </c>
      <c r="G17">
        <f t="shared" si="0"/>
        <v>-0.13233243477470841</v>
      </c>
      <c r="H17">
        <f t="shared" si="0"/>
        <v>-0.13426553396681876</v>
      </c>
      <c r="I17">
        <f t="shared" si="0"/>
        <v>-0.1360978181265243</v>
      </c>
      <c r="J17">
        <f t="shared" si="0"/>
        <v>-0.13782627460088087</v>
      </c>
      <c r="K17">
        <f t="shared" si="0"/>
        <v>-0.13944809972640376</v>
      </c>
      <c r="L17">
        <f t="shared" si="0"/>
        <v>-0.14096070716553083</v>
      </c>
      <c r="M17">
        <f t="shared" si="0"/>
        <v>-0.14236173552856532</v>
      </c>
      <c r="N17">
        <f t="shared" si="0"/>
        <v>-0.14364905524816321</v>
      </c>
      <c r="O17">
        <f t="shared" si="0"/>
        <v>-0.14482077467686422</v>
      </c>
      <c r="P17">
        <f t="shared" si="0"/>
        <v>-0.14587524538177105</v>
      </c>
      <c r="Q17">
        <f t="shared" si="0"/>
        <v>-0.14681106661422758</v>
      </c>
    </row>
    <row r="18" spans="1:17">
      <c r="A18">
        <v>1.6</v>
      </c>
      <c r="B18">
        <f t="shared" si="1"/>
        <v>-0.11521941847372651</v>
      </c>
      <c r="C18">
        <f t="shared" si="1"/>
        <v>-0.11748869948396574</v>
      </c>
      <c r="D18">
        <f t="shared" si="1"/>
        <v>-0.11968536756054945</v>
      </c>
      <c r="E18">
        <f t="shared" si="0"/>
        <v>-0.12180591521668069</v>
      </c>
      <c r="F18">
        <f t="shared" si="0"/>
        <v>-0.12384696261143741</v>
      </c>
      <c r="G18">
        <f t="shared" si="0"/>
        <v>-0.12580526709375206</v>
      </c>
      <c r="H18">
        <f t="shared" si="0"/>
        <v>-0.12767773236928512</v>
      </c>
      <c r="I18">
        <f t="shared" si="0"/>
        <v>-0.1294614172529068</v>
      </c>
      <c r="J18">
        <f t="shared" si="0"/>
        <v>-0.13115354397110632</v>
      </c>
      <c r="K18">
        <f t="shared" si="0"/>
        <v>-0.13275150598044069</v>
      </c>
      <c r="L18">
        <f t="shared" si="0"/>
        <v>-0.13425287527011331</v>
      </c>
      <c r="M18">
        <f t="shared" si="0"/>
        <v>-0.13565540911891355</v>
      </c>
      <c r="N18">
        <f t="shared" si="0"/>
        <v>-0.13695705627905683</v>
      </c>
      <c r="O18">
        <f t="shared" si="0"/>
        <v>-0.13815596256191282</v>
      </c>
      <c r="P18">
        <f t="shared" si="0"/>
        <v>-0.13925047580319491</v>
      </c>
      <c r="Q18">
        <f t="shared" si="0"/>
        <v>-0.14023915018788613</v>
      </c>
    </row>
    <row r="20" spans="1:17">
      <c r="B20" t="e">
        <f>CORREL(B3:B18,'項T_t(厳密)'!B3:B18)</f>
        <v>#DIV/0!</v>
      </c>
      <c r="C20">
        <f>CORREL(C3:C18,'項T_t(厳密)'!C3:C18)</f>
        <v>-0.94210886301642316</v>
      </c>
      <c r="D20">
        <f>CORREL(D3:D18,'項T_t(厳密)'!D3:D18)</f>
        <v>-0.94091137075719267</v>
      </c>
      <c r="E20">
        <f>CORREL(E3:E18,'項T_t(厳密)'!E3:E18)</f>
        <v>-0.93887954779795213</v>
      </c>
      <c r="F20">
        <f>CORREL(F3:F18,'項T_t(厳密)'!F3:F18)</f>
        <v>-0.9359355427474263</v>
      </c>
      <c r="G20">
        <f>CORREL(G3:G18,'項T_t(厳密)'!G3:G18)</f>
        <v>-0.93195363205323245</v>
      </c>
      <c r="H20">
        <f>CORREL(H3:H18,'項T_t(厳密)'!H3:H18)</f>
        <v>-0.92675050462569897</v>
      </c>
      <c r="I20">
        <f>CORREL(I3:I18,'項T_t(厳密)'!I3:I18)</f>
        <v>-0.92007007504027072</v>
      </c>
      <c r="J20">
        <f>CORREL(J3:J18,'項T_t(厳密)'!J3:J18)</f>
        <v>-0.91156141817479353</v>
      </c>
      <c r="K20">
        <f>CORREL(K3:K18,'項T_t(厳密)'!K3:K18)</f>
        <v>-0.90074802510843976</v>
      </c>
      <c r="L20">
        <f>CORREL(L3:L18,'項T_t(厳密)'!L3:L18)</f>
        <v>-0.88698664265551486</v>
      </c>
      <c r="M20">
        <f>CORREL(M3:M18,'項T_t(厳密)'!M3:M18)</f>
        <v>-0.86941533074580502</v>
      </c>
      <c r="N20">
        <f>CORREL(N3:N18,'項T_t(厳密)'!N3:N18)</f>
        <v>-0.84689496258974895</v>
      </c>
      <c r="O20">
        <f>CORREL(O3:O18,'項T_t(厳密)'!O3:O18)</f>
        <v>-0.81795991882399077</v>
      </c>
      <c r="P20">
        <f>CORREL(P3:P18,'項T_t(厳密)'!P3:P18)</f>
        <v>-0.78081792367048719</v>
      </c>
      <c r="Q20">
        <f>CORREL(Q3:Q18,'項T_t(厳密)'!Q3:Q18)</f>
        <v>-0.73348011138591374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20"/>
  <sheetViews>
    <sheetView workbookViewId="0">
      <selection activeCell="Q18" sqref="Q18"/>
    </sheetView>
  </sheetViews>
  <sheetFormatPr defaultRowHeight="13.5"/>
  <cols>
    <col min="1" max="1" width="13.375" customWidth="1"/>
  </cols>
  <sheetData>
    <row r="1" spans="1:17">
      <c r="A1" t="s">
        <v>1</v>
      </c>
      <c r="B1">
        <v>1</v>
      </c>
      <c r="C1" t="s">
        <v>2</v>
      </c>
      <c r="D1">
        <v>5</v>
      </c>
    </row>
    <row r="2" spans="1:17">
      <c r="A2" t="s">
        <v>0</v>
      </c>
      <c r="B2">
        <v>0</v>
      </c>
      <c r="C2">
        <v>0.1</v>
      </c>
      <c r="D2">
        <v>0.2</v>
      </c>
      <c r="E2">
        <v>0.3</v>
      </c>
      <c r="F2">
        <v>0.4</v>
      </c>
      <c r="G2">
        <v>0.5</v>
      </c>
      <c r="H2">
        <v>0.6</v>
      </c>
      <c r="I2">
        <v>0.7</v>
      </c>
      <c r="J2">
        <v>0.8</v>
      </c>
      <c r="K2">
        <v>0.9</v>
      </c>
      <c r="L2">
        <v>1</v>
      </c>
      <c r="M2">
        <v>1.1000000000000001</v>
      </c>
      <c r="N2">
        <v>1.2</v>
      </c>
      <c r="O2">
        <v>1.3</v>
      </c>
      <c r="P2">
        <v>1.4</v>
      </c>
      <c r="Q2">
        <v>1.5</v>
      </c>
    </row>
    <row r="3" spans="1:17">
      <c r="A3">
        <v>0.1</v>
      </c>
      <c r="B3">
        <f>-(EXP(-((B$2^2+$B$1^2*$A3^2)/(4*$D$1*$A3)))*(SQRT(PI())*SQRT($A3)*($B$1^2*$A3*EXP((B$2^2+4*$B$1*$A3*B$2+$B$1^2*$A3^2)/(4*$D$1*$A3))*ERF((B$2+$B$1*$A3)/(2*SQRT($D$1)*SQRT($A3)))-$B$1^2*$A3*EXP((B$2^2+4*$B$1*$A3*B$2+$B$1^2*$A3^2)/(4*$D$1*$A3)))+SQRT($D$1)*(2*$B$1*$A3-B$2)*EXP(($B$1*B$2)/(2*$D$1))))/(2*SQRT(PI())*$D$1^2*$A3^(3/2))</f>
        <v>-0.14037413248188588</v>
      </c>
      <c r="C3">
        <f>-(EXP(-((C$2^2+$B$1^2*$A3^2)/(4*$D$1*$A3)))*(SQRT(PI())*SQRT($A3)*($B$1^2*$A3*EXP((C$2^2+4*$B$1*$A3*C$2+$B$1^2*$A3^2)/(4*$D$1*$A3))*ERF((C$2+$B$1*$A3)/(2*SQRT($D$1)*SQRT($A3)))-$B$1^2*$A3*EXP((C$2^2+4*$B$1*$A3*C$2+$B$1^2*$A3^2)/(4*$D$1*$A3)))+SQRT($D$1)*(2*$B$1*$A3-C$2)*EXP(($B$1*C$2)/(2*$D$1))))/(2*SQRT(PI())*$D$1^2*$A3^(3/2))</f>
        <v>-6.2618863750947593E-2</v>
      </c>
      <c r="D3">
        <f>-(EXP(-((D$2^2+$B$1^2*$A3^2)/(4*$D$1*$A3)))*(SQRT(PI())*SQRT($A3)*($B$1^2*$A3*EXP((D$2^2+4*$B$1*$A3*D$2+$B$1^2*$A3^2)/(4*$D$1*$A3))*ERF((D$2+$B$1*$A3)/(2*SQRT($D$1)*SQRT($A3)))-$B$1^2*$A3*EXP((D$2^2+4*$B$1*$A3*D$2+$B$1^2*$A3^2)/(4*$D$1*$A3)))+SQRT($D$1)*(2*$B$1*$A3-D$2)*EXP(($B$1*D$2)/(2*$D$1))))/(2*SQRT(PI())*$D$1^2*$A3^(3/2))</f>
        <v>1.590727633926339E-2</v>
      </c>
      <c r="E3">
        <f>-(EXP(-((E$2^2+$B$1^2*$A3^2)/(4*$D$1*$A3)))*(SQRT(PI())*SQRT($A3)*($B$1^2*$A3*EXP((E$2^2+4*$B$1*$A3*E$2+$B$1^2*$A3^2)/(4*$D$1*$A3))*ERF((E$2+$B$1*$A3)/(2*SQRT($D$1)*SQRT($A3)))-$B$1^2*$A3*EXP((E$2^2+4*$B$1*$A3*E$2+$B$1^2*$A3^2)/(4*$D$1*$A3)))+SQRT($D$1)*(2*$B$1*$A3-E$2)*EXP(($B$1*E$2)/(2*$D$1))))/(2*SQRT(PI())*$D$1^2*$A3^(3/2))</f>
        <v>9.2843970311215468E-2</v>
      </c>
      <c r="F3">
        <f t="shared" ref="F3:Q18" si="0">-(EXP(-((F$2^2+$B$1^2*$A3^2)/(4*$D$1*$A3)))*(SQRT(PI())*SQRT($A3)*($B$1^2*$A3*EXP((F$2^2+4*$B$1*$A3*F$2+$B$1^2*$A3^2)/(4*$D$1*$A3))*ERF((F$2+$B$1*$A3)/(2*SQRT($D$1)*SQRT($A3)))-$B$1^2*$A3*EXP((F$2^2+4*$B$1*$A3*F$2+$B$1^2*$A3^2)/(4*$D$1*$A3)))+SQRT($D$1)*(2*$B$1*$A3-F$2)*EXP(($B$1*F$2)/(2*$D$1))))/(2*SQRT(PI())*$D$1^2*$A3^(3/2))</f>
        <v>0.16592451520797458</v>
      </c>
      <c r="G3">
        <f t="shared" si="0"/>
        <v>0.2330859469791523</v>
      </c>
      <c r="H3">
        <f t="shared" si="0"/>
        <v>0.29256479165456606</v>
      </c>
      <c r="I3">
        <f t="shared" si="0"/>
        <v>0.34297227145727704</v>
      </c>
      <c r="J3">
        <f t="shared" si="0"/>
        <v>0.38334458236053504</v>
      </c>
      <c r="K3">
        <f t="shared" si="0"/>
        <v>0.41316596685636547</v>
      </c>
      <c r="L3">
        <f t="shared" si="0"/>
        <v>0.4323645158791532</v>
      </c>
      <c r="M3">
        <f t="shared" si="0"/>
        <v>0.44128272967284343</v>
      </c>
      <c r="N3">
        <f t="shared" si="0"/>
        <v>0.44062665541630736</v>
      </c>
      <c r="O3">
        <f t="shared" si="0"/>
        <v>0.43139875060542421</v>
      </c>
      <c r="P3">
        <f t="shared" si="0"/>
        <v>0.41482040490184385</v>
      </c>
      <c r="Q3">
        <f t="shared" si="0"/>
        <v>0.39225026291491966</v>
      </c>
    </row>
    <row r="4" spans="1:17">
      <c r="A4">
        <v>0.2</v>
      </c>
      <c r="B4">
        <f t="shared" ref="B4:E18" si="1">-(EXP(-((B$2^2+$B$1^2*$A4^2)/(4*$D$1*$A4)))*(SQRT(PI())*SQRT($A4)*($B$1^2*$A4*EXP((B$2^2+4*$B$1*$A4*B$2+$B$1^2*$A4^2)/(4*$D$1*$A4))*ERF((B$2+$B$1*$A4)/(2*SQRT($D$1)*SQRT($A4)))-$B$1^2*$A4*EXP((B$2^2+4*$B$1*$A4*B$2+$B$1^2*$A4^2)/(4*$D$1*$A4)))+SQRT($D$1)*(2*$B$1*$A4-B$2)*EXP(($B$1*B$2)/(2*$D$1))))/(2*SQRT(PI())*$D$1^2*$A4^(3/2))</f>
        <v>-9.3964418999259378E-2</v>
      </c>
      <c r="C4">
        <f t="shared" si="1"/>
        <v>-6.7440898184802187E-2</v>
      </c>
      <c r="D4">
        <f t="shared" si="1"/>
        <v>-4.0238567956743999E-2</v>
      </c>
      <c r="E4">
        <f t="shared" si="1"/>
        <v>-1.2770581826855027E-2</v>
      </c>
      <c r="F4">
        <f t="shared" si="0"/>
        <v>1.4545798981219124E-2</v>
      </c>
      <c r="G4">
        <f t="shared" si="0"/>
        <v>4.1299631279045866E-2</v>
      </c>
      <c r="H4">
        <f t="shared" si="0"/>
        <v>6.7096455755714782E-2</v>
      </c>
      <c r="I4">
        <f t="shared" si="0"/>
        <v>9.156785239822364E-2</v>
      </c>
      <c r="J4">
        <f t="shared" si="0"/>
        <v>0.11438006308246212</v>
      </c>
      <c r="K4">
        <f t="shared" si="0"/>
        <v>0.13524140097617943</v>
      </c>
      <c r="L4">
        <f t="shared" si="0"/>
        <v>0.15390822009123004</v>
      </c>
      <c r="M4">
        <f t="shared" si="0"/>
        <v>0.17018928078543472</v>
      </c>
      <c r="N4">
        <f t="shared" si="0"/>
        <v>0.18394841495846398</v>
      </c>
      <c r="O4">
        <f t="shared" si="0"/>
        <v>0.19510546462215128</v>
      </c>
      <c r="P4">
        <f t="shared" si="0"/>
        <v>0.20363553597193892</v>
      </c>
      <c r="Q4">
        <f t="shared" si="0"/>
        <v>0.20956667477170773</v>
      </c>
    </row>
    <row r="5" spans="1:17">
      <c r="A5">
        <v>0.3</v>
      </c>
      <c r="B5">
        <f t="shared" si="1"/>
        <v>-7.3510305185872996E-2</v>
      </c>
      <c r="C5">
        <f t="shared" si="1"/>
        <v>-5.9588874323418244E-2</v>
      </c>
      <c r="D5">
        <f t="shared" si="1"/>
        <v>-4.5231503091081336E-2</v>
      </c>
      <c r="E5">
        <f t="shared" si="1"/>
        <v>-3.0583577302491224E-2</v>
      </c>
      <c r="F5">
        <f t="shared" si="0"/>
        <v>-1.5794455170229905E-2</v>
      </c>
      <c r="G5">
        <f t="shared" si="0"/>
        <v>-1.0149697491925673E-3</v>
      </c>
      <c r="H5">
        <f t="shared" si="0"/>
        <v>1.3605093474337686E-2</v>
      </c>
      <c r="I5">
        <f t="shared" si="0"/>
        <v>2.791948507862671E-2</v>
      </c>
      <c r="J5">
        <f t="shared" si="0"/>
        <v>4.1787888692948742E-2</v>
      </c>
      <c r="K5">
        <f t="shared" si="0"/>
        <v>5.5078171764329505E-2</v>
      </c>
      <c r="L5">
        <f t="shared" si="0"/>
        <v>6.7668439879539008E-2</v>
      </c>
      <c r="M5">
        <f t="shared" si="0"/>
        <v>7.9448850337808782E-2</v>
      </c>
      <c r="N5">
        <f t="shared" si="0"/>
        <v>9.0323147809941648E-2</v>
      </c>
      <c r="O5">
        <f t="shared" si="0"/>
        <v>0.10020989302299033</v>
      </c>
      <c r="P5">
        <f t="shared" si="0"/>
        <v>0.10904336419019922</v>
      </c>
      <c r="Q5">
        <f t="shared" si="0"/>
        <v>0.11677412005908268</v>
      </c>
    </row>
    <row r="6" spans="1:17">
      <c r="A6">
        <v>0.4</v>
      </c>
      <c r="B6">
        <f t="shared" si="1"/>
        <v>-6.13789271726553E-2</v>
      </c>
      <c r="C6">
        <f t="shared" si="1"/>
        <v>-5.2657869137578889E-2</v>
      </c>
      <c r="D6">
        <f t="shared" si="1"/>
        <v>-4.3635605782288374E-2</v>
      </c>
      <c r="E6">
        <f t="shared" si="1"/>
        <v>-3.4380429775173194E-2</v>
      </c>
      <c r="F6">
        <f t="shared" si="0"/>
        <v>-2.4963141195523425E-2</v>
      </c>
      <c r="G6">
        <f t="shared" si="0"/>
        <v>-1.5456161620132077E-2</v>
      </c>
      <c r="H6">
        <f t="shared" si="0"/>
        <v>-5.9326232335465976E-3</v>
      </c>
      <c r="I6">
        <f t="shared" si="0"/>
        <v>3.5345510871472299E-3</v>
      </c>
      <c r="J6">
        <f t="shared" si="0"/>
        <v>1.2873560603324332E-2</v>
      </c>
      <c r="K6">
        <f t="shared" si="0"/>
        <v>2.2014616554879692E-2</v>
      </c>
      <c r="L6">
        <f t="shared" si="0"/>
        <v>3.0890793661016984E-2</v>
      </c>
      <c r="M6">
        <f t="shared" si="0"/>
        <v>3.9438828831228026E-2</v>
      </c>
      <c r="N6">
        <f t="shared" si="0"/>
        <v>4.7599853847938134E-2</v>
      </c>
      <c r="O6">
        <f t="shared" si="0"/>
        <v>5.5320050275013605E-2</v>
      </c>
      <c r="P6">
        <f t="shared" si="0"/>
        <v>6.2551216578999452E-2</v>
      </c>
      <c r="Q6">
        <f t="shared" si="0"/>
        <v>6.9251239375885662E-2</v>
      </c>
    </row>
    <row r="7" spans="1:17">
      <c r="A7">
        <v>0.5</v>
      </c>
      <c r="B7">
        <f t="shared" si="1"/>
        <v>-5.3141691915741009E-2</v>
      </c>
      <c r="C7">
        <f t="shared" si="1"/>
        <v>-4.7121501965988868E-2</v>
      </c>
      <c r="D7">
        <f t="shared" si="1"/>
        <v>-4.0879963577591355E-2</v>
      </c>
      <c r="E7">
        <f t="shared" si="1"/>
        <v>-3.4454673796592006E-2</v>
      </c>
      <c r="F7">
        <f t="shared" si="0"/>
        <v>-2.7884844840376573E-2</v>
      </c>
      <c r="G7">
        <f t="shared" si="0"/>
        <v>-2.1210913553503116E-2</v>
      </c>
      <c r="H7">
        <f t="shared" si="0"/>
        <v>-1.4474135242423844E-2</v>
      </c>
      <c r="I7">
        <f t="shared" si="0"/>
        <v>-7.716167565086824E-3</v>
      </c>
      <c r="J7">
        <f t="shared" si="0"/>
        <v>-9.7865031439861648E-4</v>
      </c>
      <c r="K7">
        <f t="shared" si="0"/>
        <v>5.6972130075232932E-3</v>
      </c>
      <c r="L7">
        <f t="shared" si="0"/>
        <v>1.2271065975523604E-2</v>
      </c>
      <c r="M7">
        <f t="shared" si="0"/>
        <v>1.8703796692175846E-2</v>
      </c>
      <c r="N7">
        <f t="shared" si="0"/>
        <v>2.4957916461497944E-2</v>
      </c>
      <c r="O7">
        <f t="shared" si="0"/>
        <v>3.0997914593624876E-2</v>
      </c>
      <c r="P7">
        <f t="shared" si="0"/>
        <v>3.6790584685751984E-2</v>
      </c>
      <c r="Q7">
        <f t="shared" si="0"/>
        <v>4.2305318239972634E-2</v>
      </c>
    </row>
    <row r="8" spans="1:17">
      <c r="A8">
        <v>0.6</v>
      </c>
      <c r="B8">
        <f t="shared" si="1"/>
        <v>-4.7091697904089264E-2</v>
      </c>
      <c r="C8">
        <f t="shared" si="1"/>
        <v>-4.267265914457135E-2</v>
      </c>
      <c r="D8">
        <f t="shared" si="1"/>
        <v>-3.8083446142127123E-2</v>
      </c>
      <c r="E8">
        <f t="shared" si="1"/>
        <v>-3.3346942496056096E-2</v>
      </c>
      <c r="F8">
        <f t="shared" si="0"/>
        <v>-2.8487122737476365E-2</v>
      </c>
      <c r="G8">
        <f t="shared" si="0"/>
        <v>-2.3528854691089267E-2</v>
      </c>
      <c r="H8">
        <f t="shared" si="0"/>
        <v>-1.8497692210813658E-2</v>
      </c>
      <c r="I8">
        <f t="shared" si="0"/>
        <v>-1.3419660690915346E-2</v>
      </c>
      <c r="J8">
        <f t="shared" si="0"/>
        <v>-8.3210378556203852E-3</v>
      </c>
      <c r="K8">
        <f t="shared" si="0"/>
        <v>-3.2281323941259323E-3</v>
      </c>
      <c r="L8">
        <f t="shared" si="0"/>
        <v>1.8329369666796388E-3</v>
      </c>
      <c r="M8">
        <f t="shared" si="0"/>
        <v>6.8364593729873255E-3</v>
      </c>
      <c r="N8">
        <f t="shared" si="0"/>
        <v>1.1757344211619575E-2</v>
      </c>
      <c r="O8">
        <f t="shared" si="0"/>
        <v>1.6571325497291952E-2</v>
      </c>
      <c r="P8">
        <f t="shared" si="0"/>
        <v>2.1255155967979882E-2</v>
      </c>
      <c r="Q8">
        <f t="shared" si="0"/>
        <v>2.5786788735728806E-2</v>
      </c>
    </row>
    <row r="9" spans="1:17">
      <c r="A9">
        <v>0.7</v>
      </c>
      <c r="B9">
        <f t="shared" si="1"/>
        <v>-4.2413179104825068E-2</v>
      </c>
      <c r="C9">
        <f t="shared" si="1"/>
        <v>-3.9029036428533656E-2</v>
      </c>
      <c r="D9">
        <f t="shared" si="1"/>
        <v>-3.5509592637943496E-2</v>
      </c>
      <c r="E9">
        <f t="shared" si="1"/>
        <v>-3.1869772642323789E-2</v>
      </c>
      <c r="F9">
        <f t="shared" si="0"/>
        <v>-2.8125270759023865E-2</v>
      </c>
      <c r="G9">
        <f t="shared" si="0"/>
        <v>-2.4292440710853441E-2</v>
      </c>
      <c r="H9">
        <f t="shared" si="0"/>
        <v>-2.0388179491923272E-2</v>
      </c>
      <c r="I9">
        <f t="shared" si="0"/>
        <v>-1.6429806247605254E-2</v>
      </c>
      <c r="J9">
        <f t="shared" si="0"/>
        <v>-1.2434937374854398E-2</v>
      </c>
      <c r="K9">
        <f t="shared" si="0"/>
        <v>-8.4213590943264457E-3</v>
      </c>
      <c r="L9">
        <f t="shared" si="0"/>
        <v>-4.4068987748472656E-3</v>
      </c>
      <c r="M9">
        <f t="shared" si="0"/>
        <v>-4.0929630342402301E-4</v>
      </c>
      <c r="N9">
        <f t="shared" si="0"/>
        <v>3.5539232100322104E-3</v>
      </c>
      <c r="O9">
        <f t="shared" si="0"/>
        <v>7.4655741246778809E-3</v>
      </c>
      <c r="P9">
        <f t="shared" si="0"/>
        <v>1.1308931125580261E-2</v>
      </c>
      <c r="Q9">
        <f t="shared" si="0"/>
        <v>1.5067845065971301E-2</v>
      </c>
    </row>
    <row r="10" spans="1:17">
      <c r="A10">
        <v>0.8</v>
      </c>
      <c r="B10">
        <f t="shared" si="1"/>
        <v>-3.8660791139452734E-2</v>
      </c>
      <c r="C10">
        <f t="shared" si="1"/>
        <v>-3.5987635263907129E-2</v>
      </c>
      <c r="D10">
        <f t="shared" si="1"/>
        <v>-3.3204097238741591E-2</v>
      </c>
      <c r="E10">
        <f t="shared" si="1"/>
        <v>-3.0320414313846071E-2</v>
      </c>
      <c r="F10">
        <f t="shared" si="0"/>
        <v>-2.7347386273366019E-2</v>
      </c>
      <c r="G10">
        <f t="shared" si="0"/>
        <v>-2.4296309809278507E-2</v>
      </c>
      <c r="H10">
        <f t="shared" si="0"/>
        <v>-2.1178908837970051E-2</v>
      </c>
      <c r="I10">
        <f t="shared" si="0"/>
        <v>-1.8007261356411623E-2</v>
      </c>
      <c r="J10">
        <f t="shared" si="0"/>
        <v>-1.4793723471492586E-2</v>
      </c>
      <c r="K10">
        <f t="shared" si="0"/>
        <v>-1.1550851266011443E-2</v>
      </c>
      <c r="L10">
        <f t="shared" si="0"/>
        <v>-8.29132118733426E-3</v>
      </c>
      <c r="M10">
        <f t="shared" si="0"/>
        <v>-5.0278496595291119E-3</v>
      </c>
      <c r="N10">
        <f t="shared" si="0"/>
        <v>-1.7731126266782313E-3</v>
      </c>
      <c r="O10">
        <f t="shared" si="0"/>
        <v>1.4603342660170764E-3</v>
      </c>
      <c r="P10">
        <f t="shared" si="0"/>
        <v>4.6601341557603896E-3</v>
      </c>
      <c r="Q10">
        <f t="shared" si="0"/>
        <v>7.8142054295800342E-3</v>
      </c>
    </row>
    <row r="11" spans="1:17">
      <c r="A11">
        <v>0.9</v>
      </c>
      <c r="B11">
        <f t="shared" si="1"/>
        <v>-3.5568165615627992E-2</v>
      </c>
      <c r="C11">
        <f t="shared" si="1"/>
        <v>-3.3406165158761263E-2</v>
      </c>
      <c r="D11">
        <f t="shared" si="1"/>
        <v>-3.1152263582559896E-2</v>
      </c>
      <c r="E11">
        <f t="shared" si="1"/>
        <v>-2.8813756703370785E-2</v>
      </c>
      <c r="F11">
        <f t="shared" si="0"/>
        <v>-2.6398363986279164E-2</v>
      </c>
      <c r="G11">
        <f t="shared" si="0"/>
        <v>-2.3914187275744299E-2</v>
      </c>
      <c r="H11">
        <f t="shared" si="0"/>
        <v>-2.1369666746541498E-2</v>
      </c>
      <c r="I11">
        <f t="shared" si="0"/>
        <v>-1.8773534407077852E-2</v>
      </c>
      <c r="J11">
        <f t="shared" si="0"/>
        <v>-1.6134765510438655E-2</v>
      </c>
      <c r="K11">
        <f t="shared" si="0"/>
        <v>-1.346252824833505E-2</v>
      </c>
      <c r="L11">
        <f t="shared" si="0"/>
        <v>-1.0766132119226425E-2</v>
      </c>
      <c r="M11">
        <f t="shared" si="0"/>
        <v>-8.0549753740969451E-3</v>
      </c>
      <c r="N11">
        <f t="shared" si="0"/>
        <v>-5.3384919515329322E-3</v>
      </c>
      <c r="O11">
        <f t="shared" si="0"/>
        <v>-2.6260983177860383E-3</v>
      </c>
      <c r="P11">
        <f t="shared" si="0"/>
        <v>7.2859372625075491E-5</v>
      </c>
      <c r="Q11">
        <f t="shared" si="0"/>
        <v>2.7491573845138842E-3</v>
      </c>
    </row>
    <row r="12" spans="1:17">
      <c r="A12">
        <v>1</v>
      </c>
      <c r="B12">
        <f t="shared" si="1"/>
        <v>-3.2964965256288455E-2</v>
      </c>
      <c r="C12">
        <f t="shared" si="1"/>
        <v>-3.118359751599099E-2</v>
      </c>
      <c r="D12">
        <f t="shared" si="1"/>
        <v>-2.9324449634326896E-2</v>
      </c>
      <c r="E12">
        <f t="shared" si="1"/>
        <v>-2.7392879244631796E-2</v>
      </c>
      <c r="F12">
        <f t="shared" si="0"/>
        <v>-2.5394570957746044E-2</v>
      </c>
      <c r="G12">
        <f t="shared" si="0"/>
        <v>-2.3335509319556465E-2</v>
      </c>
      <c r="H12">
        <f t="shared" si="0"/>
        <v>-2.1221949805116883E-2</v>
      </c>
      <c r="I12">
        <f t="shared" si="0"/>
        <v>-1.9060388044046042E-2</v>
      </c>
      <c r="J12">
        <f t="shared" si="0"/>
        <v>-1.6857527487057596E-2</v>
      </c>
      <c r="K12">
        <f t="shared" si="0"/>
        <v>-1.4620245736802715E-2</v>
      </c>
      <c r="L12">
        <f t="shared" si="0"/>
        <v>-1.2355559777558357E-2</v>
      </c>
      <c r="M12">
        <f t="shared" si="0"/>
        <v>-1.0070590347556654E-2</v>
      </c>
      <c r="N12">
        <f t="shared" si="0"/>
        <v>-7.7725257048231371E-3</v>
      </c>
      <c r="O12">
        <f t="shared" si="0"/>
        <v>-5.4685850422028963E-3</v>
      </c>
      <c r="P12">
        <f t="shared" si="0"/>
        <v>-3.1659818097550252E-3</v>
      </c>
      <c r="Q12">
        <f t="shared" si="0"/>
        <v>-8.7188720286356743E-4</v>
      </c>
    </row>
    <row r="13" spans="1:17">
      <c r="A13">
        <v>1.1000000000000001</v>
      </c>
      <c r="B13">
        <f t="shared" si="1"/>
        <v>-3.073653969776419E-2</v>
      </c>
      <c r="C13">
        <f t="shared" si="1"/>
        <v>-2.9246658916852665E-2</v>
      </c>
      <c r="D13">
        <f t="shared" si="1"/>
        <v>-2.7690053442410809E-2</v>
      </c>
      <c r="E13">
        <f t="shared" si="1"/>
        <v>-2.6070753151355847E-2</v>
      </c>
      <c r="F13">
        <f t="shared" si="0"/>
        <v>-2.4393045524008311E-2</v>
      </c>
      <c r="G13">
        <f t="shared" si="0"/>
        <v>-2.2661457332316455E-2</v>
      </c>
      <c r="H13">
        <f t="shared" si="0"/>
        <v>-2.0880734904328877E-2</v>
      </c>
      <c r="I13">
        <f t="shared" si="0"/>
        <v>-1.9055823083905441E-2</v>
      </c>
      <c r="J13">
        <f t="shared" si="0"/>
        <v>-1.7191843014817302E-2</v>
      </c>
      <c r="K13">
        <f t="shared" si="0"/>
        <v>-1.5294068887534183E-2</v>
      </c>
      <c r="L13">
        <f t="shared" si="0"/>
        <v>-1.3367903795042657E-2</v>
      </c>
      <c r="M13">
        <f t="shared" si="0"/>
        <v>-1.1418854850906721E-2</v>
      </c>
      <c r="N13">
        <f t="shared" si="0"/>
        <v>-9.4525077284041362E-3</v>
      </c>
      <c r="O13">
        <f t="shared" si="0"/>
        <v>-7.4745007838968444E-3</v>
      </c>
      <c r="P13">
        <f t="shared" si="0"/>
        <v>-5.4904989305801814E-3</v>
      </c>
      <c r="Q13">
        <f t="shared" si="0"/>
        <v>-3.5061674303760951E-3</v>
      </c>
    </row>
    <row r="14" spans="1:17">
      <c r="A14">
        <v>1.2</v>
      </c>
      <c r="B14">
        <f t="shared" si="1"/>
        <v>-2.8802528413618453E-2</v>
      </c>
      <c r="C14">
        <f t="shared" si="1"/>
        <v>-2.7541022346416304E-2</v>
      </c>
      <c r="D14">
        <f t="shared" si="1"/>
        <v>-2.6221623913581484E-2</v>
      </c>
      <c r="E14">
        <f t="shared" si="1"/>
        <v>-2.484742416385189E-2</v>
      </c>
      <c r="F14">
        <f t="shared" si="0"/>
        <v>-2.3421720656613368E-2</v>
      </c>
      <c r="G14">
        <f t="shared" si="0"/>
        <v>-2.1948004727244085E-2</v>
      </c>
      <c r="H14">
        <f t="shared" si="0"/>
        <v>-2.0429947696384093E-2</v>
      </c>
      <c r="I14">
        <f t="shared" si="0"/>
        <v>-1.88713860983315E-2</v>
      </c>
      <c r="J14">
        <f t="shared" si="0"/>
        <v>-1.7276306010761491E-2</v>
      </c>
      <c r="K14">
        <f t="shared" si="0"/>
        <v>-1.5648826574375579E-2</v>
      </c>
      <c r="L14">
        <f t="shared" si="0"/>
        <v>-1.3993182796859144E-2</v>
      </c>
      <c r="M14">
        <f t="shared" si="0"/>
        <v>-1.2313707740604423E-2</v>
      </c>
      <c r="N14">
        <f t="shared" si="0"/>
        <v>-1.0614814197999351E-2</v>
      </c>
      <c r="O14">
        <f t="shared" si="0"/>
        <v>-8.9009759616514982E-3</v>
      </c>
      <c r="P14">
        <f t="shared" si="0"/>
        <v>-7.1767087996804299E-3</v>
      </c>
      <c r="Q14">
        <f t="shared" si="0"/>
        <v>-5.446551248146682E-3</v>
      </c>
    </row>
    <row r="15" spans="1:17">
      <c r="A15">
        <v>1.3</v>
      </c>
      <c r="B15">
        <f>-(EXP(-((B$2^2+$B$1^2*$A15^2)/(4*$D$1*$A15)))*(SQRT(PI())*SQRT($A15)*($B$1^2*$A15*EXP((B$2^2+4*$B$1*$A15*B$2+$B$1^2*$A15^2)/(4*$D$1*$A15))*ERF((B$2+$B$1*$A15)/(2*SQRT($D$1)*SQRT($A15)))-$B$1^2*$A15*EXP((B$2^2+4*$B$1*$A15*B$2+$B$1^2*$A15^2)/(4*$D$1*$A15)))+SQRT($D$1)*(2*$B$1*$A15-B$2)*EXP(($B$1*B$2)/(2*$D$1))))/(2*SQRT(PI())*$D$1^2*$A15^(3/2))</f>
        <v>-2.7104720954157915E-2</v>
      </c>
      <c r="C15">
        <f>-(EXP(-((C$2^2+$B$1^2*$A15^2)/(4*$D$1*$A15)))*(SQRT(PI())*SQRT($A15)*($B$1^2*$A15*EXP((C$2^2+4*$B$1*$A15*C$2+$B$1^2*$A15^2)/(4*$D$1*$A15))*ERF((C$2+$B$1*$A15)/(2*SQRT($D$1)*SQRT($A15)))-$B$1^2*$A15*EXP((C$2^2+4*$B$1*$A15*C$2+$B$1^2*$A15^2)/(4*$D$1*$A15)))+SQRT($D$1)*(2*$B$1*$A15-C$2)*EXP(($B$1*C$2)/(2*$D$1))))/(2*SQRT(PI())*$D$1^2*$A15^(3/2))</f>
        <v>-2.6025569241305845E-2</v>
      </c>
      <c r="D15">
        <f>-(EXP(-((D$2^2+$B$1^2*$A15^2)/(4*$D$1*$A15)))*(SQRT(PI())*SQRT($A15)*($B$1^2*$A15*EXP((D$2^2+4*$B$1*$A15*D$2+$B$1^2*$A15^2)/(4*$D$1*$A15))*ERF((D$2+$B$1*$A15)/(2*SQRT($D$1)*SQRT($A15)))-$B$1^2*$A15*EXP((D$2^2+4*$B$1*$A15*D$2+$B$1^2*$A15^2)/(4*$D$1*$A15)))+SQRT($D$1)*(2*$B$1*$A15-D$2)*EXP(($B$1*D$2)/(2*$D$1))))/(2*SQRT(PI())*$D$1^2*$A15^(3/2))</f>
        <v>-2.4895702883941884E-2</v>
      </c>
      <c r="E15">
        <f>-(EXP(-((E$2^2+$B$1^2*$A15^2)/(4*$D$1*$A15)))*(SQRT(PI())*SQRT($A15)*($B$1^2*$A15*EXP((E$2^2+4*$B$1*$A15*E$2+$B$1^2*$A15^2)/(4*$D$1*$A15))*ERF((E$2+$B$1*$A15)/(2*SQRT($D$1)*SQRT($A15)))-$B$1^2*$A15*EXP((E$2^2+4*$B$1*$A15*E$2+$B$1^2*$A15^2)/(4*$D$1*$A15)))+SQRT($D$1)*(2*$B$1*$A15-E$2)*EXP(($B$1*E$2)/(2*$D$1))))/(2*SQRT(PI())*$D$1^2*$A15^(3/2))</f>
        <v>-2.371753145934483E-2</v>
      </c>
      <c r="F15">
        <f t="shared" si="0"/>
        <v>-2.2493632581794595E-2</v>
      </c>
      <c r="G15">
        <f t="shared" si="0"/>
        <v>-2.1226742850720869E-2</v>
      </c>
      <c r="H15">
        <f t="shared" si="0"/>
        <v>-1.9919747999963683E-2</v>
      </c>
      <c r="I15">
        <f t="shared" si="0"/>
        <v>-1.8575672296991707E-2</v>
      </c>
      <c r="J15">
        <f t="shared" si="0"/>
        <v>-1.7197667245854004E-2</v>
      </c>
      <c r="K15">
        <f t="shared" si="0"/>
        <v>-1.5788999652223877E-2</v>
      </c>
      <c r="L15">
        <f t="shared" si="0"/>
        <v>-1.4353039113090953E-2</v>
      </c>
      <c r="M15">
        <f t="shared" si="0"/>
        <v>-1.2893244997435969E-2</v>
      </c>
      <c r="N15">
        <f t="shared" si="0"/>
        <v>-1.1413152987551307E-2</v>
      </c>
      <c r="O15">
        <f t="shared" si="0"/>
        <v>-9.9163612535221532E-3</v>
      </c>
      <c r="P15">
        <f t="shared" si="0"/>
        <v>-8.4065163357345367E-3</v>
      </c>
      <c r="Q15">
        <f t="shared" si="0"/>
        <v>-6.8872988121098004E-3</v>
      </c>
    </row>
    <row r="16" spans="1:17">
      <c r="A16">
        <v>1.4</v>
      </c>
      <c r="B16">
        <f t="shared" si="1"/>
        <v>-2.5599786181866837E-2</v>
      </c>
      <c r="C16">
        <f t="shared" si="1"/>
        <v>-2.4668592088937815E-2</v>
      </c>
      <c r="D16">
        <f t="shared" si="1"/>
        <v>-2.3692602123768891E-2</v>
      </c>
      <c r="E16">
        <f t="shared" si="1"/>
        <v>-2.2673720157139674E-2</v>
      </c>
      <c r="F16">
        <f t="shared" si="0"/>
        <v>-2.1613988564705148E-2</v>
      </c>
      <c r="G16">
        <f t="shared" si="0"/>
        <v>-2.051558167567178E-2</v>
      </c>
      <c r="H16">
        <f t="shared" si="0"/>
        <v>-1.9380798606692576E-2</v>
      </c>
      <c r="I16">
        <f t="shared" si="0"/>
        <v>-1.8212055513427267E-2</v>
      </c>
      <c r="J16">
        <f t="shared" si="0"/>
        <v>-1.7011877295761355E-2</v>
      </c>
      <c r="K16">
        <f t="shared" si="0"/>
        <v>-1.5782888796013389E-2</v>
      </c>
      <c r="L16">
        <f t="shared" si="0"/>
        <v>-1.4527805532557459E-2</v>
      </c>
      <c r="M16">
        <f t="shared" si="0"/>
        <v>-1.3249424014124239E-2</v>
      </c>
      <c r="N16">
        <f t="shared" si="0"/>
        <v>-1.1950611682597522E-2</v>
      </c>
      <c r="O16">
        <f t="shared" si="0"/>
        <v>-1.0634296534375191E-2</v>
      </c>
      <c r="P16">
        <f t="shared" si="0"/>
        <v>-9.3034564722964379E-3</v>
      </c>
      <c r="Q16">
        <f t="shared" si="0"/>
        <v>-7.9611084417367823E-3</v>
      </c>
    </row>
    <row r="17" spans="1:17">
      <c r="A17">
        <v>1.5</v>
      </c>
      <c r="B17">
        <f t="shared" si="1"/>
        <v>-2.4254719486069082E-2</v>
      </c>
      <c r="C17">
        <f t="shared" si="1"/>
        <v>-2.3445228902306891E-2</v>
      </c>
      <c r="D17">
        <f t="shared" si="1"/>
        <v>-2.2595884973178697E-2</v>
      </c>
      <c r="E17">
        <f t="shared" si="1"/>
        <v>-2.1708209165960179E-2</v>
      </c>
      <c r="F17">
        <f t="shared" si="0"/>
        <v>-2.0783838402379261E-2</v>
      </c>
      <c r="G17">
        <f t="shared" si="0"/>
        <v>-1.9824520245649804E-2</v>
      </c>
      <c r="H17">
        <f t="shared" si="0"/>
        <v>-1.883210760722797E-2</v>
      </c>
      <c r="I17">
        <f t="shared" si="0"/>
        <v>-1.7808552995241405E-2</v>
      </c>
      <c r="J17">
        <f t="shared" si="0"/>
        <v>-1.6755902329142237E-2</v>
      </c>
      <c r="K17">
        <f t="shared" si="0"/>
        <v>-1.5676288347603033E-2</v>
      </c>
      <c r="L17">
        <f t="shared" si="0"/>
        <v>-1.4571923638992469E-2</v>
      </c>
      <c r="M17">
        <f t="shared" si="0"/>
        <v>-1.3445093325918662E-2</v>
      </c>
      <c r="N17">
        <f t="shared" si="0"/>
        <v>-1.229814743729778E-2</v>
      </c>
      <c r="O17">
        <f t="shared" si="0"/>
        <v>-1.1133493003178827E-2</v>
      </c>
      <c r="P17">
        <f t="shared" si="0"/>
        <v>-9.9535859091222333E-3</v>
      </c>
      <c r="Q17">
        <f t="shared" si="0"/>
        <v>-8.7609225482753964E-3</v>
      </c>
    </row>
    <row r="18" spans="1:17">
      <c r="A18">
        <v>1.6</v>
      </c>
      <c r="B18">
        <f t="shared" si="1"/>
        <v>-2.3043883694745301E-2</v>
      </c>
      <c r="C18">
        <f t="shared" si="1"/>
        <v>-2.2335692728450117E-2</v>
      </c>
      <c r="D18">
        <f t="shared" si="1"/>
        <v>-2.1591821343879023E-2</v>
      </c>
      <c r="E18">
        <f t="shared" si="1"/>
        <v>-2.0813497118956577E-2</v>
      </c>
      <c r="F18">
        <f t="shared" si="0"/>
        <v>-2.0002044829030927E-2</v>
      </c>
      <c r="G18">
        <f t="shared" si="0"/>
        <v>-1.9158882867098773E-2</v>
      </c>
      <c r="H18">
        <f t="shared" si="0"/>
        <v>-1.8285519283803595E-2</v>
      </c>
      <c r="I18">
        <f t="shared" si="0"/>
        <v>-1.7383547462277466E-2</v>
      </c>
      <c r="J18">
        <f t="shared" si="0"/>
        <v>-1.6454641444834862E-2</v>
      </c>
      <c r="K18">
        <f t="shared" si="0"/>
        <v>-1.5500550930380597E-2</v>
      </c>
      <c r="L18">
        <f t="shared" si="0"/>
        <v>-1.452309596315113E-2</v>
      </c>
      <c r="M18">
        <f t="shared" si="0"/>
        <v>-1.3524161335056937E-2</v>
      </c>
      <c r="N18">
        <f t="shared" si="0"/>
        <v>-1.2505690725423417E-2</v>
      </c>
      <c r="O18">
        <f t="shared" si="0"/>
        <v>-1.1469680603327989E-2</v>
      </c>
      <c r="P18">
        <f t="shared" si="0"/>
        <v>-1.0418173918993046E-2</v>
      </c>
      <c r="Q18">
        <f t="shared" si="0"/>
        <v>-9.3532536118093208E-3</v>
      </c>
    </row>
    <row r="20" spans="1:17">
      <c r="B20" t="e">
        <f>CORREL(B3:B18,'項T_t(厳密)'!B3:B18)</f>
        <v>#DIV/0!</v>
      </c>
      <c r="C20">
        <f>CORREL(C3:C18,'項T_t(厳密)'!C3:C18)</f>
        <v>-0.69158178923608638</v>
      </c>
      <c r="D20">
        <f>CORREL(D3:D18,'項T_t(厳密)'!D3:D18)</f>
        <v>0.65325417297797239</v>
      </c>
      <c r="E20">
        <f>CORREL(E3:E18,'項T_t(厳密)'!E3:E18)</f>
        <v>0.93404144101599718</v>
      </c>
      <c r="F20">
        <f>CORREL(F3:F18,'項T_t(厳密)'!F3:F18)</f>
        <v>0.97372590255313873</v>
      </c>
      <c r="G20">
        <f>CORREL(G3:G18,'項T_t(厳密)'!G3:G18)</f>
        <v>0.9855740540151624</v>
      </c>
      <c r="H20">
        <f>CORREL(H3:H18,'項T_t(厳密)'!H3:H18)</f>
        <v>0.99059066955029729</v>
      </c>
      <c r="I20">
        <f>CORREL(I3:I18,'項T_t(厳密)'!I3:I18)</f>
        <v>0.99315580323412211</v>
      </c>
      <c r="J20">
        <f>CORREL(J3:J18,'項T_t(厳密)'!J3:J18)</f>
        <v>0.99462383193335002</v>
      </c>
      <c r="K20">
        <f>CORREL(K3:K18,'項T_t(厳密)'!K3:K18)</f>
        <v>0.99552258304081054</v>
      </c>
      <c r="L20">
        <f>CORREL(L3:L18,'項T_t(厳密)'!L3:L18)</f>
        <v>0.99609108610105523</v>
      </c>
      <c r="M20">
        <f>CORREL(M3:M18,'項T_t(厳密)'!M3:M18)</f>
        <v>0.99644898960393191</v>
      </c>
      <c r="N20">
        <f>CORREL(N3:N18,'項T_t(厳密)'!N3:N18)</f>
        <v>0.99665990356581824</v>
      </c>
      <c r="O20">
        <f>CORREL(O3:O18,'項T_t(厳密)'!O3:O18)</f>
        <v>0.99675811919126811</v>
      </c>
      <c r="P20">
        <f>CORREL(P3:P18,'項T_t(厳密)'!P3:P18)</f>
        <v>0.99676083631097945</v>
      </c>
      <c r="Q20">
        <f>CORREL(Q3:Q18,'項T_t(厳密)'!Q3:Q18)</f>
        <v>0.99667398287939213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20"/>
  <sheetViews>
    <sheetView workbookViewId="0">
      <selection activeCell="Q18" sqref="Q18"/>
    </sheetView>
  </sheetViews>
  <sheetFormatPr defaultRowHeight="13.5"/>
  <cols>
    <col min="1" max="1" width="13.375" customWidth="1"/>
  </cols>
  <sheetData>
    <row r="1" spans="1:17">
      <c r="A1" t="s">
        <v>1</v>
      </c>
      <c r="B1">
        <v>1</v>
      </c>
      <c r="C1" t="s">
        <v>2</v>
      </c>
      <c r="D1">
        <v>5</v>
      </c>
    </row>
    <row r="2" spans="1:17">
      <c r="A2" t="s">
        <v>0</v>
      </c>
      <c r="B2">
        <v>0</v>
      </c>
      <c r="C2">
        <v>0.1</v>
      </c>
      <c r="D2">
        <v>0.2</v>
      </c>
      <c r="E2">
        <v>0.3</v>
      </c>
      <c r="F2">
        <v>0.4</v>
      </c>
      <c r="G2">
        <v>0.5</v>
      </c>
      <c r="H2">
        <v>0.6</v>
      </c>
      <c r="I2">
        <v>0.7</v>
      </c>
      <c r="J2">
        <v>0.8</v>
      </c>
      <c r="K2">
        <v>0.9</v>
      </c>
      <c r="L2">
        <v>1</v>
      </c>
      <c r="M2">
        <v>1.1000000000000001</v>
      </c>
      <c r="N2">
        <v>1.2</v>
      </c>
      <c r="O2">
        <v>1.3</v>
      </c>
      <c r="P2">
        <v>1.4</v>
      </c>
      <c r="Q2">
        <v>1.5</v>
      </c>
    </row>
    <row r="3" spans="1:17">
      <c r="A3">
        <v>0.1</v>
      </c>
      <c r="B3">
        <f>-(EXP(-((B$2^2+$B$1^2*$A3^2)/(4*$D$1*$A3)))*(SQRT(PI())*SQRT($A3)*(2*$B$1^3*$A3^2*EXP((B$2^2+4*$B$1*$A3*B$2+$B$1^2*$A3^2)/(4*$D$1*$A3))*ERF((B$2+$B$1*$A3)/(2*SQRT($D$1)*SQRT($A3)))-2*$B$1^3*$A3^2*EXP((B$2^2+4*$B$1*$A3*B$2+$B$1^2*$A3^2)/(4*$D$1*$A3)))+SQRT($D$1)*(B$2^2-3*$B$1*$A3*B$2+4*$B$1^2*$A3^2-2*$D$1*$A3)*EXP(($B$1*B$2)/(2*$D$1))))/(4*SQRT(PI())*$D$1^3*$A3^(5/2))</f>
        <v>0.76583026845764579</v>
      </c>
      <c r="C3">
        <f t="shared" ref="C3:Q3" si="0">-(EXP(-((C$2^2+$B$1^2*$A3^2)/(4*$D$1*$A3)))*(SQRT(PI())*SQRT($A3)*(2*$B$1^3*$A3^2*EXP((C$2^2+4*$B$1*$A3*C$2+$B$1^2*$A3^2)/(4*$D$1*$A3))*ERF((C$2+$B$1*$A3)/(2*SQRT($D$1)*SQRT($A3)))-2*$B$1^3*$A3^2*EXP((C$2^2+4*$B$1*$A3*C$2+$B$1^2*$A3^2)/(4*$D$1*$A3)))+SQRT($D$1)*(C$2^2-3*$B$1*$A3*C$2+4*$B$1^2*$A3^2-2*$D$1*$A3)*EXP(($B$1*C$2)/(2*$D$1))))/(4*SQRT(PI())*$D$1^3*$A3^(5/2))</f>
        <v>0.78536078805267495</v>
      </c>
      <c r="D3">
        <f t="shared" si="0"/>
        <v>0.7812084483227949</v>
      </c>
      <c r="E3">
        <f t="shared" si="0"/>
        <v>0.75372905873609974</v>
      </c>
      <c r="F3">
        <f t="shared" si="0"/>
        <v>0.70442745825211672</v>
      </c>
      <c r="G3">
        <f t="shared" si="0"/>
        <v>0.63584941388114724</v>
      </c>
      <c r="H3">
        <f t="shared" si="0"/>
        <v>0.55140441580093214</v>
      </c>
      <c r="I3">
        <f t="shared" si="0"/>
        <v>0.45513499364594273</v>
      </c>
      <c r="J3">
        <f t="shared" si="0"/>
        <v>0.35145237783485661</v>
      </c>
      <c r="K3">
        <f t="shared" si="0"/>
        <v>0.24486046291770319</v>
      </c>
      <c r="L3">
        <f t="shared" si="0"/>
        <v>0.13968995315558147</v>
      </c>
      <c r="M3">
        <f t="shared" si="0"/>
        <v>3.9862401030739902E-2</v>
      </c>
      <c r="N3">
        <f t="shared" si="0"/>
        <v>-5.1300062217570788E-2</v>
      </c>
      <c r="O3">
        <f t="shared" si="0"/>
        <v>-0.13120863146011358</v>
      </c>
      <c r="P3">
        <f t="shared" si="0"/>
        <v>-0.19808040997803508</v>
      </c>
      <c r="Q3">
        <f t="shared" si="0"/>
        <v>-0.25095037181565449</v>
      </c>
    </row>
    <row r="4" spans="1:17">
      <c r="A4">
        <v>0.2</v>
      </c>
      <c r="B4">
        <f t="shared" ref="B4:Q18" si="1">-(EXP(-((B$2^2+$B$1^2*$A4^2)/(4*$D$1*$A4)))*(SQRT(PI())*SQRT($A4)*(2*$B$1^3*$A4^2*EXP((B$2^2+4*$B$1*$A4*B$2+$B$1^2*$A4^2)/(4*$D$1*$A4))*ERF((B$2+$B$1*$A4)/(2*SQRT($D$1)*SQRT($A4)))-2*$B$1^3*$A4^2*EXP((B$2^2+4*$B$1*$A4*B$2+$B$1^2*$A4^2)/(4*$D$1*$A4)))+SQRT($D$1)*(B$2^2-3*$B$1*$A4*B$2+4*$B$1^2*$A4^2-2*$D$1*$A4)*EXP(($B$1*B$2)/(2*$D$1))))/(4*SQRT(PI())*$D$1^3*$A4^(5/2))</f>
        <v>0.26049501789738239</v>
      </c>
      <c r="C4">
        <f t="shared" si="1"/>
        <v>0.26930920814757681</v>
      </c>
      <c r="D4">
        <f t="shared" si="1"/>
        <v>0.27404707818252932</v>
      </c>
      <c r="E4">
        <f t="shared" si="1"/>
        <v>0.27461546270703618</v>
      </c>
      <c r="F4">
        <f t="shared" si="1"/>
        <v>0.27102554542558871</v>
      </c>
      <c r="G4">
        <f t="shared" si="1"/>
        <v>0.26339206804381216</v>
      </c>
      <c r="H4">
        <f t="shared" si="1"/>
        <v>0.25192894431421281</v>
      </c>
      <c r="I4">
        <f t="shared" si="1"/>
        <v>0.23694148466346832</v>
      </c>
      <c r="J4">
        <f t="shared" si="1"/>
        <v>0.21881558544409532</v>
      </c>
      <c r="K4">
        <f t="shared" si="1"/>
        <v>0.19800436590000028</v>
      </c>
      <c r="L4">
        <f t="shared" si="1"/>
        <v>0.17501283884414215</v>
      </c>
      <c r="M4">
        <f t="shared" si="1"/>
        <v>0.15038127279987973</v>
      </c>
      <c r="N4">
        <f t="shared" si="1"/>
        <v>0.12466794088523729</v>
      </c>
      <c r="O4">
        <f t="shared" si="1"/>
        <v>9.8431954043946571E-2</v>
      </c>
      <c r="P4">
        <f t="shared" si="1"/>
        <v>7.2216844462959312E-2</v>
      </c>
      <c r="Q4">
        <f t="shared" si="1"/>
        <v>4.6535502225382268E-2</v>
      </c>
    </row>
    <row r="5" spans="1:17">
      <c r="A5">
        <v>0.3</v>
      </c>
      <c r="B5">
        <f t="shared" si="1"/>
        <v>0.1365647886104778</v>
      </c>
      <c r="C5">
        <f t="shared" si="1"/>
        <v>0.14163178329589091</v>
      </c>
      <c r="D5">
        <f t="shared" si="1"/>
        <v>0.14527292790558996</v>
      </c>
      <c r="E5">
        <f t="shared" si="1"/>
        <v>0.14743623986009535</v>
      </c>
      <c r="F5">
        <f t="shared" si="1"/>
        <v>0.14809439255220119</v>
      </c>
      <c r="G5">
        <f t="shared" si="1"/>
        <v>0.14724525726395823</v>
      </c>
      <c r="H5">
        <f t="shared" si="1"/>
        <v>0.14491185736366077</v>
      </c>
      <c r="I5">
        <f t="shared" si="1"/>
        <v>0.14114173777488678</v>
      </c>
      <c r="J5">
        <f t="shared" si="1"/>
        <v>0.13600577014319182</v>
      </c>
      <c r="K5">
        <f t="shared" si="1"/>
        <v>0.12959643077821098</v>
      </c>
      <c r="L5">
        <f t="shared" si="1"/>
        <v>0.12202560372022264</v>
      </c>
      <c r="M5">
        <f t="shared" si="1"/>
        <v>0.11342197463138382</v>
      </c>
      <c r="N5">
        <f t="shared" si="1"/>
        <v>0.10392809218619597</v>
      </c>
      <c r="O5">
        <f t="shared" si="1"/>
        <v>9.3697181877633581E-2</v>
      </c>
      <c r="P5">
        <f t="shared" si="1"/>
        <v>8.2889802423541589E-2</v>
      </c>
      <c r="Q5">
        <f t="shared" si="1"/>
        <v>7.1670437133531162E-2</v>
      </c>
    </row>
    <row r="6" spans="1:17">
      <c r="A6">
        <v>0.4</v>
      </c>
      <c r="B6">
        <f t="shared" si="1"/>
        <v>8.5484888059332881E-2</v>
      </c>
      <c r="C6">
        <f t="shared" si="1"/>
        <v>8.8827907644908721E-2</v>
      </c>
      <c r="D6">
        <f t="shared" si="1"/>
        <v>9.1503397081487775E-2</v>
      </c>
      <c r="E6">
        <f t="shared" si="1"/>
        <v>9.3481974907584031E-2</v>
      </c>
      <c r="F6">
        <f t="shared" si="1"/>
        <v>9.4742941861253469E-2</v>
      </c>
      <c r="G6">
        <f t="shared" si="1"/>
        <v>9.5274608968118471E-2</v>
      </c>
      <c r="H6">
        <f t="shared" si="1"/>
        <v>9.5074468116466013E-2</v>
      </c>
      <c r="I6">
        <f t="shared" si="1"/>
        <v>9.4149201726235615E-2</v>
      </c>
      <c r="J6">
        <f t="shared" si="1"/>
        <v>9.2514531735019709E-2</v>
      </c>
      <c r="K6">
        <f t="shared" si="1"/>
        <v>9.0194911726608082E-2</v>
      </c>
      <c r="L6">
        <f t="shared" si="1"/>
        <v>8.7223069517564755E-2</v>
      </c>
      <c r="M6">
        <f t="shared" si="1"/>
        <v>8.3639410800102426E-2</v>
      </c>
      <c r="N6">
        <f t="shared" si="1"/>
        <v>7.949129742721904E-2</v>
      </c>
      <c r="O6">
        <f t="shared" si="1"/>
        <v>7.4832216540406685E-2</v>
      </c>
      <c r="P6">
        <f t="shared" si="1"/>
        <v>6.972085891499856E-2</v>
      </c>
      <c r="Q6">
        <f t="shared" si="1"/>
        <v>6.4220126581149131E-2</v>
      </c>
    </row>
    <row r="7" spans="1:17">
      <c r="A7">
        <v>0.5</v>
      </c>
      <c r="B7">
        <f t="shared" si="1"/>
        <v>5.8974619007755226E-2</v>
      </c>
      <c r="C7">
        <f t="shared" si="1"/>
        <v>6.1369768701043603E-2</v>
      </c>
      <c r="D7">
        <f t="shared" si="1"/>
        <v>6.3398275617604805E-2</v>
      </c>
      <c r="E7">
        <f t="shared" si="1"/>
        <v>6.5042101086820833E-2</v>
      </c>
      <c r="F7">
        <f t="shared" si="1"/>
        <v>6.6287015466796995E-2</v>
      </c>
      <c r="G7">
        <f t="shared" si="1"/>
        <v>6.7122781935410214E-2</v>
      </c>
      <c r="H7">
        <f t="shared" si="1"/>
        <v>6.7543284679346421E-2</v>
      </c>
      <c r="I7">
        <f t="shared" si="1"/>
        <v>6.7546599335250743E-2</v>
      </c>
      <c r="J7">
        <f t="shared" si="1"/>
        <v>6.7135004574603654E-2</v>
      </c>
      <c r="K7">
        <f t="shared" si="1"/>
        <v>6.6314934783504642E-2</v>
      </c>
      <c r="L7">
        <f t="shared" si="1"/>
        <v>6.5096874846917813E-2</v>
      </c>
      <c r="M7">
        <f t="shared" si="1"/>
        <v>6.349519908090813E-2</v>
      </c>
      <c r="N7">
        <f t="shared" si="1"/>
        <v>6.1527957343445815E-2</v>
      </c>
      <c r="O7">
        <f t="shared" si="1"/>
        <v>5.9216612273198473E-2</v>
      </c>
      <c r="P7">
        <f t="shared" si="1"/>
        <v>5.6585732436884958E-2</v>
      </c>
      <c r="Q7">
        <f t="shared" si="1"/>
        <v>5.366264689202465E-2</v>
      </c>
    </row>
    <row r="8" spans="1:17">
      <c r="A8">
        <v>0.6</v>
      </c>
      <c r="B8">
        <f t="shared" si="1"/>
        <v>4.3266341014378873E-2</v>
      </c>
      <c r="C8">
        <f t="shared" si="1"/>
        <v>4.5078393970419066E-2</v>
      </c>
      <c r="D8">
        <f t="shared" si="1"/>
        <v>4.6667695738396457E-2</v>
      </c>
      <c r="E8">
        <f t="shared" si="1"/>
        <v>4.8022386637403373E-2</v>
      </c>
      <c r="F8">
        <f t="shared" si="1"/>
        <v>4.9132527558304467E-2</v>
      </c>
      <c r="G8">
        <f t="shared" si="1"/>
        <v>4.9990207805017048E-2</v>
      </c>
      <c r="H8">
        <f t="shared" si="1"/>
        <v>5.058962954705061E-2</v>
      </c>
      <c r="I8">
        <f t="shared" si="1"/>
        <v>5.0927167687830635E-2</v>
      </c>
      <c r="J8">
        <f t="shared" si="1"/>
        <v>5.1001404319973041E-2</v>
      </c>
      <c r="K8">
        <f t="shared" si="1"/>
        <v>5.0813137319664407E-2</v>
      </c>
      <c r="L8">
        <f t="shared" si="1"/>
        <v>5.036536302067187E-2</v>
      </c>
      <c r="M8">
        <f t="shared" si="1"/>
        <v>4.9663233297137406E-2</v>
      </c>
      <c r="N8">
        <f t="shared" si="1"/>
        <v>4.8713987766097026E-2</v>
      </c>
      <c r="O8">
        <f t="shared" si="1"/>
        <v>4.7526862188657433E-2</v>
      </c>
      <c r="P8">
        <f t="shared" si="1"/>
        <v>4.6112974496320951E-2</v>
      </c>
      <c r="Q8">
        <f t="shared" si="1"/>
        <v>4.4485190189886691E-2</v>
      </c>
    </row>
    <row r="9" spans="1:17">
      <c r="A9">
        <v>0.7</v>
      </c>
      <c r="B9">
        <f t="shared" si="1"/>
        <v>3.3117303255348042E-2</v>
      </c>
      <c r="C9">
        <f t="shared" si="1"/>
        <v>3.4542113312242828E-2</v>
      </c>
      <c r="D9">
        <f t="shared" si="1"/>
        <v>3.5821870493931152E-2</v>
      </c>
      <c r="E9">
        <f t="shared" si="1"/>
        <v>3.6948353863567346E-2</v>
      </c>
      <c r="F9">
        <f t="shared" si="1"/>
        <v>3.7914408214719787E-2</v>
      </c>
      <c r="G9">
        <f t="shared" si="1"/>
        <v>3.871401087638289E-2</v>
      </c>
      <c r="H9">
        <f t="shared" si="1"/>
        <v>3.9342327413460949E-2</v>
      </c>
      <c r="I9">
        <f t="shared" si="1"/>
        <v>3.9795755542772343E-2</v>
      </c>
      <c r="J9">
        <f t="shared" si="1"/>
        <v>4.0071956734373533E-2</v>
      </c>
      <c r="K9">
        <f t="shared" si="1"/>
        <v>4.016987512571716E-2</v>
      </c>
      <c r="L9">
        <f t="shared" si="1"/>
        <v>4.0089743539372481E-2</v>
      </c>
      <c r="M9">
        <f t="shared" si="1"/>
        <v>3.983307656118746E-2</v>
      </c>
      <c r="N9">
        <f t="shared" si="1"/>
        <v>3.9402650802249695E-2</v>
      </c>
      <c r="O9">
        <f t="shared" si="1"/>
        <v>3.8802472632194253E-2</v>
      </c>
      <c r="P9">
        <f t="shared" si="1"/>
        <v>3.8037733830745282E-2</v>
      </c>
      <c r="Q9">
        <f t="shared" si="1"/>
        <v>3.7114755756392254E-2</v>
      </c>
    </row>
    <row r="10" spans="1:17">
      <c r="A10">
        <v>0.8</v>
      </c>
      <c r="B10">
        <f t="shared" si="1"/>
        <v>2.6147053869136423E-2</v>
      </c>
      <c r="C10">
        <f t="shared" si="1"/>
        <v>2.7300031481801906E-2</v>
      </c>
      <c r="D10">
        <f t="shared" si="1"/>
        <v>2.8353656756957491E-2</v>
      </c>
      <c r="E10">
        <f t="shared" si="1"/>
        <v>2.9301991149780784E-2</v>
      </c>
      <c r="F10">
        <f t="shared" si="1"/>
        <v>3.0139730211724163E-2</v>
      </c>
      <c r="G10">
        <f t="shared" si="1"/>
        <v>3.0862247003631472E-2</v>
      </c>
      <c r="H10">
        <f t="shared" si="1"/>
        <v>3.146562974998128E-2</v>
      </c>
      <c r="I10">
        <f t="shared" si="1"/>
        <v>3.1946713331005912E-2</v>
      </c>
      <c r="J10">
        <f t="shared" si="1"/>
        <v>3.2303104277436247E-2</v>
      </c>
      <c r="K10">
        <f t="shared" si="1"/>
        <v>3.2533199005050494E-2</v>
      </c>
      <c r="L10">
        <f t="shared" si="1"/>
        <v>3.2636195102075924E-2</v>
      </c>
      <c r="M10">
        <f t="shared" si="1"/>
        <v>3.2612095560767385E-2</v>
      </c>
      <c r="N10">
        <f t="shared" si="1"/>
        <v>3.2461705924089368E-2</v>
      </c>
      <c r="O10">
        <f t="shared" si="1"/>
        <v>3.2186624398263843E-2</v>
      </c>
      <c r="P10">
        <f t="shared" si="1"/>
        <v>3.1789225060917303E-2</v>
      </c>
      <c r="Q10">
        <f t="shared" si="1"/>
        <v>3.1272634371585659E-2</v>
      </c>
    </row>
    <row r="11" spans="1:17">
      <c r="A11">
        <v>0.9</v>
      </c>
      <c r="B11">
        <f t="shared" si="1"/>
        <v>2.1137316170246556E-2</v>
      </c>
      <c r="C11">
        <f t="shared" si="1"/>
        <v>2.2091297184970427E-2</v>
      </c>
      <c r="D11">
        <f t="shared" si="1"/>
        <v>2.2974568274543309E-2</v>
      </c>
      <c r="E11">
        <f t="shared" si="1"/>
        <v>2.3782696648582517E-2</v>
      </c>
      <c r="F11">
        <f t="shared" si="1"/>
        <v>2.4511647269722332E-2</v>
      </c>
      <c r="G11">
        <f t="shared" si="1"/>
        <v>2.5157812225094126E-2</v>
      </c>
      <c r="H11">
        <f t="shared" si="1"/>
        <v>2.5718036904510362E-2</v>
      </c>
      <c r="I11">
        <f t="shared" si="1"/>
        <v>2.6189642735946768E-2</v>
      </c>
      <c r="J11">
        <f t="shared" si="1"/>
        <v>2.6570446262382977E-2</v>
      </c>
      <c r="K11">
        <f t="shared" si="1"/>
        <v>2.6858774380068749E-2</v>
      </c>
      <c r="L11">
        <f t="shared" si="1"/>
        <v>2.7053475596395832E-2</v>
      </c>
      <c r="M11">
        <f t="shared" si="1"/>
        <v>2.7153927205316421E-2</v>
      </c>
      <c r="N11">
        <f t="shared" si="1"/>
        <v>2.7160038319169813E-2</v>
      </c>
      <c r="O11">
        <f t="shared" si="1"/>
        <v>2.7072248737362411E-2</v>
      </c>
      <c r="P11">
        <f t="shared" si="1"/>
        <v>2.6891523674081399E-2</v>
      </c>
      <c r="Q11">
        <f t="shared" si="1"/>
        <v>2.6619344408599838E-2</v>
      </c>
    </row>
    <row r="12" spans="1:17">
      <c r="A12">
        <v>1</v>
      </c>
      <c r="B12">
        <f t="shared" si="1"/>
        <v>1.7407785917345028E-2</v>
      </c>
      <c r="C12">
        <f t="shared" si="1"/>
        <v>1.8211222194104894E-2</v>
      </c>
      <c r="D12">
        <f t="shared" si="1"/>
        <v>1.8962801896286269E-2</v>
      </c>
      <c r="E12">
        <f t="shared" si="1"/>
        <v>1.9659127034897743E-2</v>
      </c>
      <c r="F12">
        <f t="shared" si="1"/>
        <v>2.0297059620717019E-2</v>
      </c>
      <c r="G12">
        <f t="shared" si="1"/>
        <v>2.0873742217214015E-2</v>
      </c>
      <c r="H12">
        <f t="shared" si="1"/>
        <v>2.1386616627979596E-2</v>
      </c>
      <c r="I12">
        <f t="shared" si="1"/>
        <v>2.1833440558462584E-2</v>
      </c>
      <c r="J12">
        <f t="shared" si="1"/>
        <v>2.221230210935576E-2</v>
      </c>
      <c r="K12">
        <f t="shared" si="1"/>
        <v>2.252163197801986E-2</v>
      </c>
      <c r="L12">
        <f t="shared" si="1"/>
        <v>2.2760213264689931E-2</v>
      </c>
      <c r="M12">
        <f t="shared" si="1"/>
        <v>2.2927188801649442E-2</v>
      </c>
      <c r="N12">
        <f t="shared" si="1"/>
        <v>2.3022065945851187E-2</v>
      </c>
      <c r="O12">
        <f t="shared" si="1"/>
        <v>2.3044718798364699E-2</v>
      </c>
      <c r="P12">
        <f t="shared" si="1"/>
        <v>2.2995387837286111E-2</v>
      </c>
      <c r="Q12">
        <f t="shared" si="1"/>
        <v>2.2874676974101348E-2</v>
      </c>
    </row>
    <row r="13" spans="1:17">
      <c r="A13">
        <v>1.1000000000000001</v>
      </c>
      <c r="B13">
        <f t="shared" si="1"/>
        <v>1.4552429521290652E-2</v>
      </c>
      <c r="C13">
        <f t="shared" si="1"/>
        <v>1.5238924413875332E-2</v>
      </c>
      <c r="D13">
        <f t="shared" si="1"/>
        <v>1.5886465814458843E-2</v>
      </c>
      <c r="E13">
        <f t="shared" si="1"/>
        <v>1.6492391151571129E-2</v>
      </c>
      <c r="F13">
        <f t="shared" si="1"/>
        <v>1.7054213483374558E-2</v>
      </c>
      <c r="G13">
        <f t="shared" si="1"/>
        <v>1.7569636293920908E-2</v>
      </c>
      <c r="H13">
        <f t="shared" si="1"/>
        <v>1.8036567153450322E-2</v>
      </c>
      <c r="I13">
        <f t="shared" si="1"/>
        <v>1.8453130136375336E-2</v>
      </c>
      <c r="J13">
        <f t="shared" si="1"/>
        <v>1.881767690025473E-2</v>
      </c>
      <c r="K13">
        <f t="shared" si="1"/>
        <v>1.9128796339653305E-2</v>
      </c>
      <c r="L13">
        <f t="shared" si="1"/>
        <v>1.9385322740203298E-2</v>
      </c>
      <c r="M13">
        <f t="shared" si="1"/>
        <v>1.9586342370319594E-2</v>
      </c>
      <c r="N13">
        <f t="shared" si="1"/>
        <v>1.9731198460753829E-2</v>
      </c>
      <c r="O13">
        <f t="shared" si="1"/>
        <v>1.9819494535376254E-2</v>
      </c>
      <c r="P13">
        <f t="shared" si="1"/>
        <v>1.9851096070116037E-2</v>
      </c>
      <c r="Q13">
        <f t="shared" si="1"/>
        <v>1.9826130470735667E-2</v>
      </c>
    </row>
    <row r="14" spans="1:17">
      <c r="A14">
        <v>1.2</v>
      </c>
      <c r="B14">
        <f t="shared" si="1"/>
        <v>1.2315835235774031E-2</v>
      </c>
      <c r="C14">
        <f t="shared" si="1"/>
        <v>1.2909496157153082E-2</v>
      </c>
      <c r="D14">
        <f t="shared" si="1"/>
        <v>1.3473318815073906E-2</v>
      </c>
      <c r="E14">
        <f t="shared" si="1"/>
        <v>1.4005178123152497E-2</v>
      </c>
      <c r="F14">
        <f t="shared" si="1"/>
        <v>1.4503070829073336E-2</v>
      </c>
      <c r="G14">
        <f t="shared" si="1"/>
        <v>1.4965126426685516E-2</v>
      </c>
      <c r="H14">
        <f t="shared" si="1"/>
        <v>1.5389617352858419E-2</v>
      </c>
      <c r="I14">
        <f t="shared" si="1"/>
        <v>1.57749683964265E-2</v>
      </c>
      <c r="J14">
        <f t="shared" si="1"/>
        <v>1.6119765252093136E-2</v>
      </c>
      <c r="K14">
        <f t="shared" si="1"/>
        <v>1.642276215829545E-2</v>
      </c>
      <c r="L14">
        <f t="shared" si="1"/>
        <v>1.6682888564701393E-2</v>
      </c>
      <c r="M14">
        <f t="shared" si="1"/>
        <v>1.6899254782158236E-2</v>
      </c>
      <c r="N14">
        <f t="shared" si="1"/>
        <v>1.7071156575474325E-2</v>
      </c>
      <c r="O14">
        <f t="shared" si="1"/>
        <v>1.7198078667323966E-2</v>
      </c>
      <c r="P14">
        <f t="shared" si="1"/>
        <v>1.7279697129747369E-2</v>
      </c>
      <c r="Q14">
        <f t="shared" si="1"/>
        <v>1.7315880648098456E-2</v>
      </c>
    </row>
    <row r="15" spans="1:17">
      <c r="A15">
        <v>1.3</v>
      </c>
      <c r="B15">
        <f t="shared" si="1"/>
        <v>1.053034878315484E-2</v>
      </c>
      <c r="C15">
        <f t="shared" si="1"/>
        <v>1.1048962033452981E-2</v>
      </c>
      <c r="D15">
        <f t="shared" si="1"/>
        <v>1.1544347782560815E-2</v>
      </c>
      <c r="E15">
        <f t="shared" si="1"/>
        <v>1.201478317589939E-2</v>
      </c>
      <c r="F15">
        <f t="shared" si="1"/>
        <v>1.2458631733101643E-2</v>
      </c>
      <c r="G15">
        <f t="shared" si="1"/>
        <v>1.2874351563894089E-2</v>
      </c>
      <c r="H15">
        <f t="shared" si="1"/>
        <v>1.3260503121236082E-2</v>
      </c>
      <c r="I15">
        <f t="shared" si="1"/>
        <v>1.3615756440804592E-2</v>
      </c>
      <c r="J15">
        <f t="shared" si="1"/>
        <v>1.3938897819194915E-2</v>
      </c>
      <c r="K15">
        <f t="shared" si="1"/>
        <v>1.4228835886876803E-2</v>
      </c>
      <c r="L15">
        <f t="shared" si="1"/>
        <v>1.4484607035971868E-2</v>
      </c>
      <c r="M15">
        <f t="shared" si="1"/>
        <v>1.4705380167269438E-2</v>
      </c>
      <c r="N15">
        <f t="shared" si="1"/>
        <v>1.4890460725538136E-2</v>
      </c>
      <c r="O15">
        <f t="shared" si="1"/>
        <v>1.5039293997081345E-2</v>
      </c>
      <c r="P15">
        <f t="shared" si="1"/>
        <v>1.5151467648584981E-2</v>
      </c>
      <c r="Q15">
        <f t="shared" si="1"/>
        <v>1.5226713491572685E-2</v>
      </c>
    </row>
    <row r="16" spans="1:17">
      <c r="A16">
        <v>1.4</v>
      </c>
      <c r="B16">
        <f t="shared" si="1"/>
        <v>9.081973630654808E-3</v>
      </c>
      <c r="C16">
        <f t="shared" si="1"/>
        <v>9.5389749240560075E-3</v>
      </c>
      <c r="D16">
        <f t="shared" si="1"/>
        <v>9.9776502761263451E-3</v>
      </c>
      <c r="E16">
        <f t="shared" si="1"/>
        <v>1.039658400446172E-2</v>
      </c>
      <c r="F16">
        <f t="shared" si="1"/>
        <v>1.0794422767093862E-2</v>
      </c>
      <c r="G16">
        <f t="shared" si="1"/>
        <v>1.1169881860220662E-2</v>
      </c>
      <c r="H16">
        <f t="shared" si="1"/>
        <v>1.152175120986303E-2</v>
      </c>
      <c r="I16">
        <f t="shared" si="1"/>
        <v>1.1848901020990621E-2</v>
      </c>
      <c r="J16">
        <f t="shared" si="1"/>
        <v>1.2150287049654989E-2</v>
      </c>
      <c r="K16">
        <f t="shared" si="1"/>
        <v>1.2424955465924733E-2</v>
      </c>
      <c r="L16">
        <f t="shared" si="1"/>
        <v>1.2672047277915424E-2</v>
      </c>
      <c r="M16">
        <f t="shared" si="1"/>
        <v>1.2890802289929972E-2</v>
      </c>
      <c r="N16">
        <f t="shared" si="1"/>
        <v>1.3080562570651469E-2</v>
      </c>
      <c r="O16">
        <f t="shared" si="1"/>
        <v>1.3240775410438159E-2</v>
      </c>
      <c r="P16">
        <f t="shared" si="1"/>
        <v>1.3370995750035222E-2</v>
      </c>
      <c r="Q16">
        <f t="shared" si="1"/>
        <v>1.3470888066414697E-2</v>
      </c>
    </row>
    <row r="17" spans="1:17">
      <c r="A17">
        <v>1.5</v>
      </c>
      <c r="B17">
        <f t="shared" si="1"/>
        <v>7.8908649868314664E-3</v>
      </c>
      <c r="C17">
        <f t="shared" si="1"/>
        <v>8.296609889555601E-3</v>
      </c>
      <c r="D17">
        <f t="shared" si="1"/>
        <v>8.687732194914935E-3</v>
      </c>
      <c r="E17">
        <f t="shared" si="1"/>
        <v>9.0630549439562925E-3</v>
      </c>
      <c r="F17">
        <f t="shared" si="1"/>
        <v>9.4214468395753675E-3</v>
      </c>
      <c r="G17">
        <f t="shared" si="1"/>
        <v>9.7618271500732479E-3</v>
      </c>
      <c r="H17">
        <f t="shared" si="1"/>
        <v>1.0083170406615504E-2</v>
      </c>
      <c r="I17">
        <f t="shared" si="1"/>
        <v>1.0384510867979074E-2</v>
      </c>
      <c r="J17">
        <f t="shared" si="1"/>
        <v>1.0664946727212209E-2</v>
      </c>
      <c r="K17">
        <f t="shared" si="1"/>
        <v>1.0923644036250617E-2</v>
      </c>
      <c r="L17">
        <f t="shared" si="1"/>
        <v>1.1159840326118985E-2</v>
      </c>
      <c r="M17">
        <f t="shared" si="1"/>
        <v>1.1372847902090524E-2</v>
      </c>
      <c r="N17">
        <f t="shared" si="1"/>
        <v>1.1562056795066184E-2</v>
      </c>
      <c r="O17">
        <f t="shared" si="1"/>
        <v>1.1726937352455538E-2</v>
      </c>
      <c r="P17">
        <f t="shared" si="1"/>
        <v>1.1867042453979933E-2</v>
      </c>
      <c r="Q17">
        <f t="shared" si="1"/>
        <v>1.1982009340058324E-2</v>
      </c>
    </row>
    <row r="18" spans="1:17">
      <c r="A18">
        <v>1.6</v>
      </c>
      <c r="B18">
        <f t="shared" si="1"/>
        <v>6.8996651455297923E-3</v>
      </c>
      <c r="C18">
        <f t="shared" si="1"/>
        <v>7.2622750597724104E-3</v>
      </c>
      <c r="D18">
        <f t="shared" si="1"/>
        <v>7.613106137098701E-3</v>
      </c>
      <c r="E18">
        <f t="shared" si="1"/>
        <v>7.9511698054963772E-3</v>
      </c>
      <c r="F18">
        <f t="shared" si="1"/>
        <v>8.2755113443294306E-3</v>
      </c>
      <c r="G18">
        <f t="shared" si="1"/>
        <v>8.5852137553095679E-3</v>
      </c>
      <c r="H18">
        <f t="shared" si="1"/>
        <v>8.8794014927066553E-3</v>
      </c>
      <c r="I18">
        <f t="shared" si="1"/>
        <v>9.1572440330350176E-3</v>
      </c>
      <c r="J18">
        <f t="shared" si="1"/>
        <v>9.4179592652353424E-3</v>
      </c>
      <c r="K18">
        <f t="shared" si="1"/>
        <v>9.6608166832791876E-3</v>
      </c>
      <c r="L18">
        <f t="shared" si="1"/>
        <v>9.8851403641489841E-3</v>
      </c>
      <c r="M18">
        <f t="shared" si="1"/>
        <v>1.0090311715284709E-2</v>
      </c>
      <c r="N18">
        <f t="shared" si="1"/>
        <v>1.0275771976831631E-2</v>
      </c>
      <c r="O18">
        <f t="shared" si="1"/>
        <v>1.0441024465363458E-2</v>
      </c>
      <c r="P18">
        <f t="shared" si="1"/>
        <v>1.0585636547183339E-2</v>
      </c>
      <c r="Q18">
        <f t="shared" si="1"/>
        <v>1.0709241330811111E-2</v>
      </c>
    </row>
    <row r="20" spans="1:17">
      <c r="B20" t="e">
        <f>CORREL(B3:B18,'項T_t(厳密)'!B3:B18)</f>
        <v>#DIV/0!</v>
      </c>
      <c r="C20">
        <f>CORREL(C3:C18,'項T_t(厳密)'!C3:C18)</f>
        <v>0.9999583927074972</v>
      </c>
      <c r="D20">
        <f>CORREL(D3:D18,'項T_t(厳密)'!D3:D18)</f>
        <v>0.99998913427857061</v>
      </c>
      <c r="E20">
        <f>CORREL(E3:E18,'項T_t(厳密)'!E3:E18)</f>
        <v>0.9999656867329888</v>
      </c>
      <c r="F20">
        <f>CORREL(F3:F18,'項T_t(厳密)'!F3:F18)</f>
        <v>0.99973793154986124</v>
      </c>
      <c r="G20">
        <f>CORREL(G3:G18,'項T_t(厳密)'!G3:G18)</f>
        <v>0.99896250640406792</v>
      </c>
      <c r="H20">
        <f>CORREL(H3:H18,'項T_t(厳密)'!H3:H18)</f>
        <v>0.99681590820167143</v>
      </c>
      <c r="I20">
        <f>CORREL(I3:I18,'項T_t(厳密)'!I3:I18)</f>
        <v>0.9911839750478314</v>
      </c>
      <c r="J20">
        <f>CORREL(J3:J18,'項T_t(厳密)'!J3:J18)</f>
        <v>0.97612821218296753</v>
      </c>
      <c r="K20">
        <f>CORREL(K3:K18,'項T_t(厳密)'!K3:K18)</f>
        <v>0.93312906184608768</v>
      </c>
      <c r="L20">
        <f>CORREL(L3:L18,'項T_t(厳密)'!L3:L18)</f>
        <v>0.80135233781959836</v>
      </c>
      <c r="M20">
        <f>CORREL(M3:M18,'項T_t(厳密)'!M3:M18)</f>
        <v>0.44158422324853208</v>
      </c>
      <c r="N20">
        <f>CORREL(N3:N18,'項T_t(厳密)'!N3:N18)</f>
        <v>-8.2115510075784381E-2</v>
      </c>
      <c r="O20">
        <f>CORREL(O3:O18,'項T_t(厳密)'!O3:O18)</f>
        <v>-0.42353565357532341</v>
      </c>
      <c r="P20">
        <f>CORREL(P3:P18,'項T_t(厳密)'!P3:P18)</f>
        <v>-0.58306732847447462</v>
      </c>
      <c r="Q20">
        <f>CORREL(Q3:Q18,'項T_t(厳密)'!Q3:Q18)</f>
        <v>-0.65636828993171881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20"/>
  <sheetViews>
    <sheetView workbookViewId="0">
      <selection activeCell="Q18" sqref="Q18"/>
    </sheetView>
  </sheetViews>
  <sheetFormatPr defaultRowHeight="13.5"/>
  <cols>
    <col min="1" max="1" width="13.375" customWidth="1"/>
  </cols>
  <sheetData>
    <row r="1" spans="1:17">
      <c r="A1" t="s">
        <v>1</v>
      </c>
      <c r="B1">
        <v>1</v>
      </c>
      <c r="C1" t="s">
        <v>2</v>
      </c>
      <c r="D1">
        <v>5</v>
      </c>
    </row>
    <row r="2" spans="1:17">
      <c r="A2" t="s">
        <v>0</v>
      </c>
      <c r="B2">
        <v>0</v>
      </c>
      <c r="C2">
        <v>0.1</v>
      </c>
      <c r="D2">
        <v>0.2</v>
      </c>
      <c r="E2">
        <v>0.3</v>
      </c>
      <c r="F2">
        <v>0.4</v>
      </c>
      <c r="G2">
        <v>0.5</v>
      </c>
      <c r="H2">
        <v>0.6</v>
      </c>
      <c r="I2">
        <v>0.7</v>
      </c>
      <c r="J2">
        <v>0.8</v>
      </c>
      <c r="K2">
        <v>0.9</v>
      </c>
      <c r="L2">
        <v>1</v>
      </c>
      <c r="M2">
        <v>1.1000000000000001</v>
      </c>
      <c r="N2">
        <v>1.2</v>
      </c>
      <c r="O2">
        <v>1.3</v>
      </c>
      <c r="P2">
        <v>1.4</v>
      </c>
      <c r="Q2">
        <v>1.5</v>
      </c>
    </row>
    <row r="3" spans="1:17">
      <c r="A3">
        <v>0.1</v>
      </c>
      <c r="B3">
        <f>-(EXP(-((B$2^2+$B$1^2*$A3^2)/(4*$D$1*$A3)))*(SQRT(PI())*SQRT($A3)*(4*$B$1^4*$A3^3*EXP((B$2^2+4*$B$1*$A3*B$2+$B$1^2*$A3^2)/(4*$D$1*$A3))*ERF((B$2+$B$1*$A3)/(2*SQRT($D$1)*SQRT($A3)))-4*$B$1^4*$A3^3*EXP((B$2^2+4*$B$1*$A3*B$2+$B$1^2*$A3^2)/(4*$D$1*$A3)))+SQRT($D$1)*((-B$2^3)+4*$B$1*$A3*B$2^2+(6*$D$1*$A3-7*$B$1^2*$A3^2)*B$2+8*$B$1^3*$A3^3-8*$D$1*$B$1*$A3^2)*EXP(($B$1*B$2)/(2*$D$1))))/(8*SQRT(PI())*$D$1^4*$A3^(7/2))</f>
        <v>0.31194707268233368</v>
      </c>
      <c r="C3">
        <f t="shared" ref="C3:Q3" si="0">-(EXP(-((C$2^2+$B$1^2*$A3^2)/(4*$D$1*$A3)))*(SQRT(PI())*SQRT($A3)*(4*$B$1^4*$A3^3*EXP((C$2^2+4*$B$1*$A3*C$2+$B$1^2*$A3^2)/(4*$D$1*$A3))*ERF((C$2+$B$1*$A3)/(2*SQRT($D$1)*SQRT($A3)))-4*$B$1^4*$A3^3*EXP((C$2^2+4*$B$1*$A3*C$2+$B$1^2*$A3^2)/(4*$D$1*$A3)))+SQRT($D$1)*((-C$2^3)+4*$B$1*$A3*C$2^2+(6*$D$1*$A3-7*$B$1^2*$A3^2)*C$2+8*$B$1^3*$A3^3-8*$D$1*$B$1*$A3^2)*EXP(($B$1*C$2)/(2*$D$1))))/(8*SQRT(PI())*$D$1^4*$A3^(7/2))</f>
        <v>7.7283701530248577E-2</v>
      </c>
      <c r="D3">
        <f t="shared" si="0"/>
        <v>-0.15973253812714203</v>
      </c>
      <c r="E3">
        <f t="shared" si="0"/>
        <v>-0.38732893516300676</v>
      </c>
      <c r="F3">
        <f t="shared" si="0"/>
        <v>-0.59443021655746631</v>
      </c>
      <c r="G3">
        <f t="shared" si="0"/>
        <v>-0.77140925956387851</v>
      </c>
      <c r="H3">
        <f t="shared" si="0"/>
        <v>-0.91070856445628068</v>
      </c>
      <c r="I3">
        <f t="shared" si="0"/>
        <v>-1.0072812924021819</v>
      </c>
      <c r="J3">
        <f t="shared" si="0"/>
        <v>-1.0588197474872361</v>
      </c>
      <c r="K3">
        <f t="shared" si="0"/>
        <v>-1.0657610024426438</v>
      </c>
      <c r="L3">
        <f t="shared" si="0"/>
        <v>-1.0310813039659268</v>
      </c>
      <c r="M3">
        <f t="shared" si="0"/>
        <v>-0.95991041787042397</v>
      </c>
      <c r="N3">
        <f t="shared" si="0"/>
        <v>-0.85901209416233004</v>
      </c>
      <c r="O3">
        <f t="shared" si="0"/>
        <v>-0.73618594331064835</v>
      </c>
      <c r="P3">
        <f t="shared" si="0"/>
        <v>-0.59964864080784108</v>
      </c>
      <c r="Q3">
        <f t="shared" si="0"/>
        <v>-0.45744878089235647</v>
      </c>
    </row>
    <row r="4" spans="1:17">
      <c r="A4">
        <v>0.2</v>
      </c>
      <c r="B4">
        <f t="shared" ref="B4:Q18" si="1">-(EXP(-((B$2^2+$B$1^2*$A4^2)/(4*$D$1*$A4)))*(SQRT(PI())*SQRT($A4)*(4*$B$1^4*$A4^3*EXP((B$2^2+4*$B$1*$A4*B$2+$B$1^2*$A4^2)/(4*$D$1*$A4))*ERF((B$2+$B$1*$A4)/(2*SQRT($D$1)*SQRT($A4)))-4*$B$1^4*$A4^3*EXP((B$2^2+4*$B$1*$A4*B$2+$B$1^2*$A4^2)/(4*$D$1*$A4)))+SQRT($D$1)*((-B$2^3)+4*$B$1*$A4*B$2^2+(6*$D$1*$A4-7*$B$1^2*$A4^2)*B$2+8*$B$1^3*$A4^3-8*$D$1*$B$1*$A4^2)*EXP(($B$1*B$2)/(2*$D$1))))/(8*SQRT(PI())*$D$1^4*$A4^(7/2))</f>
        <v>0.10795658391892338</v>
      </c>
      <c r="C4">
        <f t="shared" si="1"/>
        <v>6.8001711018742278E-2</v>
      </c>
      <c r="D4">
        <f t="shared" si="1"/>
        <v>2.6599936459118078E-2</v>
      </c>
      <c r="E4">
        <f t="shared" si="1"/>
        <v>-1.5213473533514056E-2</v>
      </c>
      <c r="F4">
        <f t="shared" si="1"/>
        <v>-5.6392899986987002E-2</v>
      </c>
      <c r="G4">
        <f t="shared" si="1"/>
        <v>-9.5918820324520412E-2</v>
      </c>
      <c r="H4">
        <f t="shared" si="1"/>
        <v>-0.13283299015787928</v>
      </c>
      <c r="I4">
        <f t="shared" si="1"/>
        <v>-0.16627080101967937</v>
      </c>
      <c r="J4">
        <f t="shared" si="1"/>
        <v>-0.19548941394278033</v>
      </c>
      <c r="K4">
        <f t="shared" si="1"/>
        <v>-0.21989049924558948</v>
      </c>
      <c r="L4">
        <f t="shared" si="1"/>
        <v>-0.23903670240037433</v>
      </c>
      <c r="M4">
        <f t="shared" si="1"/>
        <v>-0.2526612861823358</v>
      </c>
      <c r="N4">
        <f t="shared" si="1"/>
        <v>-0.26067074997697215</v>
      </c>
      <c r="O4">
        <f t="shared" si="1"/>
        <v>-0.26314057699438187</v>
      </c>
      <c r="P4">
        <f t="shared" si="1"/>
        <v>-0.26030458877569446</v>
      </c>
      <c r="Q4">
        <f t="shared" si="1"/>
        <v>-0.25253867545937847</v>
      </c>
    </row>
    <row r="5" spans="1:17">
      <c r="A5">
        <v>0.3</v>
      </c>
      <c r="B5">
        <f t="shared" si="1"/>
        <v>5.7566327651626045E-2</v>
      </c>
      <c r="C5">
        <f t="shared" si="1"/>
        <v>4.3647416325531325E-2</v>
      </c>
      <c r="D5">
        <f t="shared" si="1"/>
        <v>2.9088651635979772E-2</v>
      </c>
      <c r="E5">
        <f t="shared" si="1"/>
        <v>1.4131952439959716E-2</v>
      </c>
      <c r="F5">
        <f t="shared" si="1"/>
        <v>-9.7243875542687964E-4</v>
      </c>
      <c r="G5">
        <f t="shared" si="1"/>
        <v>-1.5971789150998623E-2</v>
      </c>
      <c r="H5">
        <f t="shared" si="1"/>
        <v>-3.0616767288442901E-2</v>
      </c>
      <c r="I5">
        <f t="shared" si="1"/>
        <v>-4.4667216814042322E-2</v>
      </c>
      <c r="J5">
        <f t="shared" si="1"/>
        <v>-5.7897640907763052E-2</v>
      </c>
      <c r="K5">
        <f t="shared" si="1"/>
        <v>-7.0102236803417761E-2</v>
      </c>
      <c r="L5">
        <f t="shared" si="1"/>
        <v>-8.1099336450789192E-2</v>
      </c>
      <c r="M5">
        <f t="shared" si="1"/>
        <v>-9.0735131009891209E-2</v>
      </c>
      <c r="N5">
        <f t="shared" si="1"/>
        <v>-9.8886582595250253E-2</v>
      </c>
      <c r="O5">
        <f t="shared" si="1"/>
        <v>-0.10546345541821953</v>
      </c>
      <c r="P5">
        <f t="shared" si="1"/>
        <v>-0.11040942901428234</v>
      </c>
      <c r="Q5">
        <f t="shared" si="1"/>
        <v>-0.11370228734583759</v>
      </c>
    </row>
    <row r="6" spans="1:17">
      <c r="A6">
        <v>0.4</v>
      </c>
      <c r="B6">
        <f t="shared" si="1"/>
        <v>3.6649112310639373E-2</v>
      </c>
      <c r="C6">
        <f t="shared" si="1"/>
        <v>3.0148534275762206E-2</v>
      </c>
      <c r="D6">
        <f t="shared" si="1"/>
        <v>2.3312205328194835E-2</v>
      </c>
      <c r="E6">
        <f t="shared" si="1"/>
        <v>1.6224797576897734E-2</v>
      </c>
      <c r="F6">
        <f t="shared" si="1"/>
        <v>8.9750313622148862E-3</v>
      </c>
      <c r="G6">
        <f t="shared" si="1"/>
        <v>1.6541289827664239E-3</v>
      </c>
      <c r="H6">
        <f t="shared" si="1"/>
        <v>-5.6457833887161432E-3</v>
      </c>
      <c r="I6">
        <f t="shared" si="1"/>
        <v>-1.2833289699656379E-2</v>
      </c>
      <c r="J6">
        <f t="shared" si="1"/>
        <v>-1.9819277662590722E-2</v>
      </c>
      <c r="K6">
        <f t="shared" si="1"/>
        <v>-2.6518476426881703E-2</v>
      </c>
      <c r="L6">
        <f t="shared" si="1"/>
        <v>-3.2850904260343643E-2</v>
      </c>
      <c r="M6">
        <f t="shared" si="1"/>
        <v>-3.8743194749059955E-2</v>
      </c>
      <c r="N6">
        <f t="shared" si="1"/>
        <v>-4.4129773383997872E-2</v>
      </c>
      <c r="O6">
        <f t="shared" si="1"/>
        <v>-4.8953860489611124E-2</v>
      </c>
      <c r="P6">
        <f t="shared" si="1"/>
        <v>-5.316828113144486E-2</v>
      </c>
      <c r="Q6">
        <f t="shared" si="1"/>
        <v>-5.6736067768562333E-2</v>
      </c>
    </row>
    <row r="7" spans="1:17">
      <c r="A7">
        <v>0.5</v>
      </c>
      <c r="B7">
        <f t="shared" si="1"/>
        <v>2.5715515279731736E-2</v>
      </c>
      <c r="C7">
        <f t="shared" si="1"/>
        <v>2.2151411951929063E-2</v>
      </c>
      <c r="D7">
        <f t="shared" si="1"/>
        <v>1.8388622455388248E-2</v>
      </c>
      <c r="E7">
        <f t="shared" si="1"/>
        <v>1.4464140152274181E-2</v>
      </c>
      <c r="F7">
        <f t="shared" si="1"/>
        <v>1.0417064660933494E-2</v>
      </c>
      <c r="G7">
        <f t="shared" si="1"/>
        <v>6.2880599224709611E-3</v>
      </c>
      <c r="H7">
        <f t="shared" si="1"/>
        <v>2.1187857520248436E-3</v>
      </c>
      <c r="I7">
        <f t="shared" si="1"/>
        <v>-2.0486869373005936E-3</v>
      </c>
      <c r="J7">
        <f t="shared" si="1"/>
        <v>-6.1724667140072098E-3</v>
      </c>
      <c r="K7">
        <f t="shared" si="1"/>
        <v>-1.0211427382643554E-2</v>
      </c>
      <c r="L7">
        <f t="shared" si="1"/>
        <v>-1.4125778413068779E-2</v>
      </c>
      <c r="M7">
        <f t="shared" si="1"/>
        <v>-1.7877609902731736E-2</v>
      </c>
      <c r="N7">
        <f t="shared" si="1"/>
        <v>-2.1431402508369831E-2</v>
      </c>
      <c r="O7">
        <f t="shared" si="1"/>
        <v>-2.4754493566418075E-2</v>
      </c>
      <c r="P7">
        <f t="shared" si="1"/>
        <v>-2.7817491588508252E-2</v>
      </c>
      <c r="Q7">
        <f t="shared" si="1"/>
        <v>-3.0594632444708336E-2</v>
      </c>
    </row>
    <row r="8" spans="1:17">
      <c r="A8">
        <v>0.6</v>
      </c>
      <c r="B8">
        <f t="shared" si="1"/>
        <v>1.9190204321915125E-2</v>
      </c>
      <c r="C8">
        <f t="shared" si="1"/>
        <v>1.7028078861890519E-2</v>
      </c>
      <c r="D8">
        <f t="shared" si="1"/>
        <v>1.4738168703586562E-2</v>
      </c>
      <c r="E8">
        <f t="shared" si="1"/>
        <v>1.2339066084311406E-2</v>
      </c>
      <c r="F8">
        <f t="shared" si="1"/>
        <v>9.8505537362687037E-3</v>
      </c>
      <c r="G8">
        <f t="shared" si="1"/>
        <v>7.2933781493200317E-3</v>
      </c>
      <c r="H8">
        <f t="shared" si="1"/>
        <v>4.6890091104887866E-3</v>
      </c>
      <c r="I8">
        <f t="shared" si="1"/>
        <v>2.059389092324644E-3</v>
      </c>
      <c r="J8">
        <f t="shared" si="1"/>
        <v>-5.733237603028885E-4</v>
      </c>
      <c r="K8">
        <f t="shared" si="1"/>
        <v>-3.1870151864082704E-3</v>
      </c>
      <c r="L8">
        <f t="shared" si="1"/>
        <v>-5.7598730111886806E-3</v>
      </c>
      <c r="M8">
        <f t="shared" si="1"/>
        <v>-8.2706401305665603E-3</v>
      </c>
      <c r="N8">
        <f t="shared" si="1"/>
        <v>-1.0698858517716934E-2</v>
      </c>
      <c r="O8">
        <f t="shared" si="1"/>
        <v>-1.3025100663093822E-2</v>
      </c>
      <c r="P8">
        <f t="shared" si="1"/>
        <v>-1.5231185095606314E-2</v>
      </c>
      <c r="Q8">
        <f t="shared" si="1"/>
        <v>-1.7300372927913001E-2</v>
      </c>
    </row>
    <row r="9" spans="1:17">
      <c r="A9">
        <v>0.7</v>
      </c>
      <c r="B9">
        <f t="shared" si="1"/>
        <v>1.4943448466332224E-2</v>
      </c>
      <c r="C9">
        <f t="shared" si="1"/>
        <v>1.3537388946255485E-2</v>
      </c>
      <c r="D9">
        <f t="shared" si="1"/>
        <v>1.2044040255156197E-2</v>
      </c>
      <c r="E9">
        <f t="shared" si="1"/>
        <v>1.0473690639786707E-2</v>
      </c>
      <c r="F9">
        <f t="shared" si="1"/>
        <v>8.8373492986086738E-3</v>
      </c>
      <c r="G9">
        <f t="shared" si="1"/>
        <v>7.146639210837618E-3</v>
      </c>
      <c r="H9">
        <f t="shared" si="1"/>
        <v>5.4136824496428867E-3</v>
      </c>
      <c r="I9">
        <f t="shared" si="1"/>
        <v>3.6509794293251305E-3</v>
      </c>
      <c r="J9">
        <f t="shared" si="1"/>
        <v>1.8712836278050066E-3</v>
      </c>
      <c r="K9">
        <f t="shared" si="1"/>
        <v>8.7473393268789869E-5</v>
      </c>
      <c r="L9">
        <f t="shared" si="1"/>
        <v>-1.6875775138768694E-3</v>
      </c>
      <c r="M9">
        <f t="shared" si="1"/>
        <v>-3.4411289762261797E-3</v>
      </c>
      <c r="N9">
        <f t="shared" si="1"/>
        <v>-5.1607015140963395E-3</v>
      </c>
      <c r="O9">
        <f t="shared" si="1"/>
        <v>-6.8341995978888946E-3</v>
      </c>
      <c r="P9">
        <f t="shared" si="1"/>
        <v>-8.4500297173077873E-3</v>
      </c>
      <c r="Q9">
        <f t="shared" si="1"/>
        <v>-9.997211731823193E-3</v>
      </c>
    </row>
    <row r="10" spans="1:17">
      <c r="A10">
        <v>0.8</v>
      </c>
      <c r="B10">
        <f t="shared" si="1"/>
        <v>1.2005253193232684E-2</v>
      </c>
      <c r="C10">
        <f t="shared" si="1"/>
        <v>1.1043416908625894E-2</v>
      </c>
      <c r="D10">
        <f t="shared" si="1"/>
        <v>1.001918288963635E-2</v>
      </c>
      <c r="E10">
        <f t="shared" si="1"/>
        <v>8.9386569726129274E-3</v>
      </c>
      <c r="F10">
        <f t="shared" si="1"/>
        <v>7.8084064156647036E-3</v>
      </c>
      <c r="G10">
        <f t="shared" si="1"/>
        <v>6.6354045399262462E-3</v>
      </c>
      <c r="H10">
        <f t="shared" si="1"/>
        <v>5.4269710153949892E-3</v>
      </c>
      <c r="I10">
        <f t="shared" si="1"/>
        <v>4.1907084460968353E-3</v>
      </c>
      <c r="J10">
        <f t="shared" si="1"/>
        <v>2.934435958313776E-3</v>
      </c>
      <c r="K10">
        <f t="shared" si="1"/>
        <v>1.6661205350603507E-3</v>
      </c>
      <c r="L10">
        <f t="shared" si="1"/>
        <v>3.9380686930465329E-4</v>
      </c>
      <c r="M10">
        <f t="shared" si="1"/>
        <v>-8.7445347286250834E-4</v>
      </c>
      <c r="N10">
        <f t="shared" si="1"/>
        <v>-2.1306727800842282E-3</v>
      </c>
      <c r="O10">
        <f t="shared" si="1"/>
        <v>-3.3669970187650421E-3</v>
      </c>
      <c r="P10">
        <f t="shared" si="1"/>
        <v>-4.5757739695084891E-3</v>
      </c>
      <c r="Q10">
        <f t="shared" si="1"/>
        <v>-5.7496189199736751E-3</v>
      </c>
    </row>
    <row r="11" spans="1:17">
      <c r="A11">
        <v>0.9</v>
      </c>
      <c r="B11">
        <f t="shared" si="1"/>
        <v>9.8776530927237455E-3</v>
      </c>
      <c r="C11">
        <f t="shared" si="1"/>
        <v>9.1939642810913297E-3</v>
      </c>
      <c r="D11">
        <f t="shared" si="1"/>
        <v>8.4640641382604832E-3</v>
      </c>
      <c r="E11">
        <f t="shared" si="1"/>
        <v>7.6917733783223976E-3</v>
      </c>
      <c r="F11">
        <f t="shared" si="1"/>
        <v>6.8812214873790094E-3</v>
      </c>
      <c r="G11">
        <f t="shared" si="1"/>
        <v>6.0368161420124942E-3</v>
      </c>
      <c r="H11">
        <f t="shared" si="1"/>
        <v>5.1632099758392126E-3</v>
      </c>
      <c r="I11">
        <f t="shared" si="1"/>
        <v>4.2652650147605676E-3</v>
      </c>
      <c r="J11">
        <f t="shared" si="1"/>
        <v>3.3480151289667333E-3</v>
      </c>
      <c r="K11">
        <f t="shared" si="1"/>
        <v>2.416626873040176E-3</v>
      </c>
      <c r="L11">
        <f t="shared" si="1"/>
        <v>1.4763591043178497E-3</v>
      </c>
      <c r="M11">
        <f t="shared" si="1"/>
        <v>5.3252178374226032E-4</v>
      </c>
      <c r="N11">
        <f t="shared" si="1"/>
        <v>-4.0956562743267919E-4</v>
      </c>
      <c r="O11">
        <f t="shared" si="1"/>
        <v>-1.3446157576374412E-3</v>
      </c>
      <c r="P11">
        <f t="shared" si="1"/>
        <v>-2.2674144852717101E-3</v>
      </c>
      <c r="Q11">
        <f t="shared" si="1"/>
        <v>-3.1728612589812947E-3</v>
      </c>
    </row>
    <row r="12" spans="1:17">
      <c r="A12">
        <v>1</v>
      </c>
      <c r="B12">
        <f t="shared" si="1"/>
        <v>8.2817129771895516E-3</v>
      </c>
      <c r="C12">
        <f t="shared" si="1"/>
        <v>7.780949018916461E-3</v>
      </c>
      <c r="D12">
        <f t="shared" si="1"/>
        <v>7.244977998130152E-3</v>
      </c>
      <c r="E12">
        <f t="shared" si="1"/>
        <v>6.6762913623760935E-3</v>
      </c>
      <c r="F12">
        <f t="shared" si="1"/>
        <v>6.0775948414002016E-3</v>
      </c>
      <c r="G12">
        <f t="shared" si="1"/>
        <v>5.4517906474990697E-3</v>
      </c>
      <c r="H12">
        <f t="shared" si="1"/>
        <v>4.8019579917145741E-3</v>
      </c>
      <c r="I12">
        <f t="shared" si="1"/>
        <v>4.1313320830663313E-3</v>
      </c>
      <c r="J12">
        <f t="shared" si="1"/>
        <v>3.4432817940792948E-3</v>
      </c>
      <c r="K12">
        <f t="shared" si="1"/>
        <v>2.7412861899792514E-3</v>
      </c>
      <c r="L12">
        <f t="shared" si="1"/>
        <v>2.0289101309178266E-3</v>
      </c>
      <c r="M12">
        <f t="shared" si="1"/>
        <v>1.309779166300493E-3</v>
      </c>
      <c r="N12">
        <f t="shared" si="1"/>
        <v>5.8755394760378428E-4</v>
      </c>
      <c r="O12">
        <f t="shared" si="1"/>
        <v>-1.340956091085804E-4</v>
      </c>
      <c r="P12">
        <f t="shared" si="1"/>
        <v>-8.5151617748543962E-4</v>
      </c>
      <c r="Q12">
        <f t="shared" si="1"/>
        <v>-1.5610966588159333E-3</v>
      </c>
    </row>
    <row r="13" spans="1:17">
      <c r="A13">
        <v>1.1000000000000001</v>
      </c>
      <c r="B13">
        <f t="shared" si="1"/>
        <v>7.0504333964268306E-3</v>
      </c>
      <c r="C13">
        <f t="shared" si="1"/>
        <v>6.6747576931121926E-3</v>
      </c>
      <c r="D13">
        <f t="shared" si="1"/>
        <v>6.2716300603160502E-3</v>
      </c>
      <c r="E13">
        <f t="shared" si="1"/>
        <v>5.8427293100817681E-3</v>
      </c>
      <c r="F13">
        <f t="shared" si="1"/>
        <v>5.3898875201534814E-3</v>
      </c>
      <c r="G13">
        <f t="shared" si="1"/>
        <v>4.9150792358704856E-3</v>
      </c>
      <c r="H13">
        <f t="shared" si="1"/>
        <v>4.4204095635230365E-3</v>
      </c>
      <c r="I13">
        <f t="shared" si="1"/>
        <v>3.9081012468175046E-3</v>
      </c>
      <c r="J13">
        <f t="shared" si="1"/>
        <v>3.3804808278765012E-3</v>
      </c>
      <c r="K13">
        <f t="shared" si="1"/>
        <v>2.8399640030082112E-3</v>
      </c>
      <c r="L13">
        <f t="shared" si="1"/>
        <v>2.2890402912177942E-3</v>
      </c>
      <c r="M13">
        <f t="shared" si="1"/>
        <v>1.7302571400138246E-3</v>
      </c>
      <c r="N13">
        <f t="shared" si="1"/>
        <v>1.1662035984089851E-3</v>
      </c>
      <c r="O13">
        <f t="shared" si="1"/>
        <v>5.9949369106612619E-4</v>
      </c>
      <c r="P13">
        <f t="shared" si="1"/>
        <v>3.2749630252626944E-5</v>
      </c>
      <c r="Q13">
        <f t="shared" si="1"/>
        <v>-5.3141499639203389E-4</v>
      </c>
    </row>
    <row r="14" spans="1:17">
      <c r="A14">
        <v>1.2</v>
      </c>
      <c r="B14">
        <f t="shared" si="1"/>
        <v>6.0784352308543505E-3</v>
      </c>
      <c r="C14">
        <f t="shared" si="1"/>
        <v>5.7910555592725829E-3</v>
      </c>
      <c r="D14">
        <f t="shared" si="1"/>
        <v>5.4818538615928301E-3</v>
      </c>
      <c r="E14">
        <f t="shared" si="1"/>
        <v>5.1519917255874476E-3</v>
      </c>
      <c r="F14">
        <f t="shared" si="1"/>
        <v>4.8027431813690768E-3</v>
      </c>
      <c r="G14">
        <f t="shared" si="1"/>
        <v>4.4354879292319987E-3</v>
      </c>
      <c r="H14">
        <f t="shared" si="1"/>
        <v>4.0517038151784458E-3</v>
      </c>
      <c r="I14">
        <f t="shared" si="1"/>
        <v>3.6529586064158693E-3</v>
      </c>
      <c r="J14">
        <f t="shared" si="1"/>
        <v>3.240901125270786E-3</v>
      </c>
      <c r="K14">
        <f t="shared" si="1"/>
        <v>2.8172518056193778E-3</v>
      </c>
      <c r="L14">
        <f t="shared" si="1"/>
        <v>2.3837927410252212E-3</v>
      </c>
      <c r="M14">
        <f t="shared" si="1"/>
        <v>1.9423572982470779E-3</v>
      </c>
      <c r="N14">
        <f t="shared" si="1"/>
        <v>1.4948193735874456E-3</v>
      </c>
      <c r="O14">
        <f t="shared" si="1"/>
        <v>1.0430823726560214E-3</v>
      </c>
      <c r="P14">
        <f t="shared" si="1"/>
        <v>5.8906799648886254E-4</v>
      </c>
      <c r="Q14">
        <f t="shared" si="1"/>
        <v>1.3470491856956715E-4</v>
      </c>
    </row>
    <row r="15" spans="1:17">
      <c r="A15">
        <v>1.3</v>
      </c>
      <c r="B15">
        <f t="shared" si="1"/>
        <v>5.2963283514282531E-3</v>
      </c>
      <c r="C15">
        <f t="shared" si="1"/>
        <v>5.0729341503011737E-3</v>
      </c>
      <c r="D15">
        <f t="shared" si="1"/>
        <v>4.8319079687432903E-3</v>
      </c>
      <c r="E15">
        <f t="shared" si="1"/>
        <v>4.5740710601539182E-3</v>
      </c>
      <c r="F15">
        <f t="shared" si="1"/>
        <v>4.3003289733649606E-3</v>
      </c>
      <c r="G15">
        <f t="shared" si="1"/>
        <v>4.0116671896998262E-3</v>
      </c>
      <c r="H15">
        <f t="shared" si="1"/>
        <v>3.7091462358534366E-3</v>
      </c>
      <c r="I15">
        <f t="shared" si="1"/>
        <v>3.3938963033974794E-3</v>
      </c>
      <c r="J15">
        <f t="shared" si="1"/>
        <v>3.0671114097139793E-3</v>
      </c>
      <c r="K15">
        <f t="shared" si="1"/>
        <v>2.7300431388860495E-3</v>
      </c>
      <c r="L15">
        <f t="shared" si="1"/>
        <v>2.3839940044911058E-3</v>
      </c>
      <c r="M15">
        <f t="shared" si="1"/>
        <v>2.0303104793159381E-3</v>
      </c>
      <c r="N15">
        <f t="shared" si="1"/>
        <v>1.670375739715083E-3</v>
      </c>
      <c r="O15">
        <f t="shared" si="1"/>
        <v>1.3056021746376929E-3</v>
      </c>
      <c r="P15">
        <f t="shared" si="1"/>
        <v>9.3742371123151493E-4</v>
      </c>
      <c r="Q15">
        <f t="shared" si="1"/>
        <v>5.6728801037735977E-4</v>
      </c>
    </row>
    <row r="16" spans="1:17">
      <c r="A16">
        <v>1.4</v>
      </c>
      <c r="B16">
        <f t="shared" si="1"/>
        <v>4.6567808995365972E-3</v>
      </c>
      <c r="C16">
        <f t="shared" si="1"/>
        <v>4.4807914065041381E-3</v>
      </c>
      <c r="D16">
        <f t="shared" si="1"/>
        <v>4.2903550690142006E-3</v>
      </c>
      <c r="E16">
        <f t="shared" si="1"/>
        <v>4.0860628772142098E-3</v>
      </c>
      <c r="F16">
        <f t="shared" si="1"/>
        <v>3.8685702029465281E-3</v>
      </c>
      <c r="G16">
        <f t="shared" si="1"/>
        <v>3.6385939272817994E-3</v>
      </c>
      <c r="H16">
        <f t="shared" si="1"/>
        <v>3.3969091943917211E-3</v>
      </c>
      <c r="I16">
        <f t="shared" si="1"/>
        <v>3.144345810381928E-3</v>
      </c>
      <c r="J16">
        <f t="shared" si="1"/>
        <v>2.8817843083714925E-3</v>
      </c>
      <c r="K16">
        <f t="shared" si="1"/>
        <v>2.6101517036191133E-3</v>
      </c>
      <c r="L16">
        <f t="shared" si="1"/>
        <v>2.3304169648346376E-3</v>
      </c>
      <c r="M16">
        <f t="shared" si="1"/>
        <v>2.0435862299573782E-3</v>
      </c>
      <c r="N16">
        <f t="shared" si="1"/>
        <v>1.7506977966103767E-3</v>
      </c>
      <c r="O16">
        <f t="shared" si="1"/>
        <v>1.4528169191349561E-3</v>
      </c>
      <c r="P16">
        <f t="shared" si="1"/>
        <v>1.1510304455575929E-3</v>
      </c>
      <c r="Q16">
        <f t="shared" si="1"/>
        <v>8.4644132902808903E-4</v>
      </c>
    </row>
    <row r="17" spans="1:17">
      <c r="A17">
        <v>1.5</v>
      </c>
      <c r="B17">
        <f t="shared" si="1"/>
        <v>4.1265347741753526E-3</v>
      </c>
      <c r="C17">
        <f t="shared" si="1"/>
        <v>3.9863331762687226E-3</v>
      </c>
      <c r="D17">
        <f t="shared" si="1"/>
        <v>3.8341504849851412E-3</v>
      </c>
      <c r="E17">
        <f t="shared" si="1"/>
        <v>3.6704181827491617E-3</v>
      </c>
      <c r="F17">
        <f t="shared" si="1"/>
        <v>3.4956177265898928E-3</v>
      </c>
      <c r="G17">
        <f t="shared" si="1"/>
        <v>3.3102786239143241E-3</v>
      </c>
      <c r="H17">
        <f t="shared" si="1"/>
        <v>3.1149762365446265E-3</v>
      </c>
      <c r="I17">
        <f t="shared" si="1"/>
        <v>2.9103293245045458E-3</v>
      </c>
      <c r="J17">
        <f t="shared" si="1"/>
        <v>2.6969973428590576E-3</v>
      </c>
      <c r="K17">
        <f t="shared" si="1"/>
        <v>2.4756775066436909E-3</v>
      </c>
      <c r="L17">
        <f t="shared" si="1"/>
        <v>2.2471016405505905E-3</v>
      </c>
      <c r="M17">
        <f t="shared" si="1"/>
        <v>2.0120328315541419E-3</v>
      </c>
      <c r="N17">
        <f t="shared" si="1"/>
        <v>1.7712619040470101E-3</v>
      </c>
      <c r="O17">
        <f t="shared" si="1"/>
        <v>1.5256037383059981E-3</v>
      </c>
      <c r="P17">
        <f t="shared" si="1"/>
        <v>1.275893454206038E-3</v>
      </c>
      <c r="Q17">
        <f t="shared" si="1"/>
        <v>1.0229824830403254E-3</v>
      </c>
    </row>
    <row r="18" spans="1:17">
      <c r="A18">
        <v>1.6</v>
      </c>
      <c r="B18">
        <f t="shared" si="1"/>
        <v>3.68162140600173E-3</v>
      </c>
      <c r="C18">
        <f t="shared" si="1"/>
        <v>3.5688788097667347E-3</v>
      </c>
      <c r="D18">
        <f t="shared" si="1"/>
        <v>3.4460944510203329E-3</v>
      </c>
      <c r="E18">
        <f t="shared" si="1"/>
        <v>3.3135870702246436E-3</v>
      </c>
      <c r="F18">
        <f t="shared" si="1"/>
        <v>3.1717147537831283E-3</v>
      </c>
      <c r="G18">
        <f t="shared" si="1"/>
        <v>3.020873627535928E-3</v>
      </c>
      <c r="H18">
        <f t="shared" si="1"/>
        <v>2.8614963491352687E-3</v>
      </c>
      <c r="I18">
        <f t="shared" si="1"/>
        <v>2.6940504064927023E-3</v>
      </c>
      <c r="J18">
        <f t="shared" si="1"/>
        <v>2.5190362307571852E-3</v>
      </c>
      <c r="K18">
        <f t="shared" si="1"/>
        <v>2.3369851334997505E-3</v>
      </c>
      <c r="L18">
        <f t="shared" si="1"/>
        <v>2.1484570789372299E-3</v>
      </c>
      <c r="M18">
        <f t="shared" si="1"/>
        <v>1.954038303115318E-3</v>
      </c>
      <c r="N18">
        <f t="shared" si="1"/>
        <v>1.7543387929814048E-3</v>
      </c>
      <c r="O18">
        <f t="shared" si="1"/>
        <v>1.5499896392023444E-3</v>
      </c>
      <c r="P18">
        <f t="shared" si="1"/>
        <v>1.34164027741434E-3</v>
      </c>
      <c r="Q18">
        <f t="shared" si="1"/>
        <v>1.1299556333247609E-3</v>
      </c>
    </row>
    <row r="20" spans="1:17">
      <c r="B20" t="e">
        <f>CORREL(B3:B18,'項T_t(厳密)'!B3:B18)</f>
        <v>#DIV/0!</v>
      </c>
      <c r="C20">
        <f>CORREL(C3:C18,'項T_t(厳密)'!C3:C18)</f>
        <v>0.87871854482680489</v>
      </c>
      <c r="D20">
        <f>CORREL(D3:D18,'項T_t(厳密)'!D3:D18)</f>
        <v>-0.85731975482941847</v>
      </c>
      <c r="E20">
        <f>CORREL(E3:E18,'項T_t(厳密)'!E3:E18)</f>
        <v>-0.9407046969131917</v>
      </c>
      <c r="F20">
        <f>CORREL(F3:F18,'項T_t(厳密)'!F3:F18)</f>
        <v>-0.95675392817036597</v>
      </c>
      <c r="G20">
        <f>CORREL(G3:G18,'項T_t(厳密)'!G3:G18)</f>
        <v>-0.96285291215611835</v>
      </c>
      <c r="H20">
        <f>CORREL(H3:H18,'項T_t(厳密)'!H3:H18)</f>
        <v>-0.96574802091261602</v>
      </c>
      <c r="I20">
        <f>CORREL(I3:I18,'項T_t(厳密)'!I3:I18)</f>
        <v>-0.9672426020844983</v>
      </c>
      <c r="J20">
        <f>CORREL(J3:J18,'項T_t(厳密)'!J3:J18)</f>
        <v>-0.96805729269924512</v>
      </c>
      <c r="K20">
        <f>CORREL(K3:K18,'項T_t(厳密)'!K3:K18)</f>
        <v>-0.96859584924339148</v>
      </c>
      <c r="L20">
        <f>CORREL(L3:L18,'項T_t(厳密)'!L3:L18)</f>
        <v>-0.96918192264619296</v>
      </c>
      <c r="M20">
        <f>CORREL(M3:M18,'項T_t(厳密)'!M3:M18)</f>
        <v>-0.97016664702317368</v>
      </c>
      <c r="N20">
        <f>CORREL(N3:N18,'項T_t(厳密)'!N3:N18)</f>
        <v>-0.97199357904830652</v>
      </c>
      <c r="O20">
        <f>CORREL(O3:O18,'項T_t(厳密)'!O3:O18)</f>
        <v>-0.97521057470807926</v>
      </c>
      <c r="P20">
        <f>CORREL(P3:P18,'項T_t(厳密)'!P3:P18)</f>
        <v>-0.98027122180110093</v>
      </c>
      <c r="Q20">
        <f>CORREL(Q3:Q18,'項T_t(厳密)'!Q3:Q18)</f>
        <v>-0.98644048680822727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解T (厳密)</vt:lpstr>
      <vt:lpstr>項T_tt(厳密)</vt:lpstr>
      <vt:lpstr>項T_t(厳密)</vt:lpstr>
      <vt:lpstr>項T_x(厳密)</vt:lpstr>
      <vt:lpstr>項T_xx(厳密)</vt:lpstr>
      <vt:lpstr>項T_xxx(厳密) </vt:lpstr>
      <vt:lpstr>項T_xxxx(厳密) </vt:lpstr>
    </vt:vector>
  </TitlesOfParts>
  <Company>岩手県立大学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小山田耕二</dc:creator>
  <cp:lastModifiedBy>Owner</cp:lastModifiedBy>
  <dcterms:created xsi:type="dcterms:W3CDTF">2000-08-03T05:23:14Z</dcterms:created>
  <dcterms:modified xsi:type="dcterms:W3CDTF">2017-11-02T01:23:47Z</dcterms:modified>
</cp:coreProperties>
</file>